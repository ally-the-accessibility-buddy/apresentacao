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 1" sheetId="1" r:id="rId5"/>
    <sheet state="visible" name="EQUIPE 2" sheetId="2" r:id="rId6"/>
    <sheet state="visible" name="EQUIPE 3" sheetId="3" r:id="rId7"/>
    <sheet state="visible" name="EQUIPE 4" sheetId="4" r:id="rId8"/>
    <sheet state="visible" name="EQUIPE 5" sheetId="5" r:id="rId9"/>
  </sheets>
  <definedNames/>
  <calcPr/>
</workbook>
</file>

<file path=xl/sharedStrings.xml><?xml version="1.0" encoding="utf-8"?>
<sst xmlns="http://schemas.openxmlformats.org/spreadsheetml/2006/main" count="761" uniqueCount="397">
  <si>
    <t>INSIGHTS (Numerar e agrupar)</t>
  </si>
  <si>
    <t>Ally (The Accessibility Buddy)</t>
  </si>
  <si>
    <t>Brainstorm de Demandas</t>
  </si>
  <si>
    <t>Prováveis Causas</t>
  </si>
  <si>
    <t>Membro</t>
  </si>
  <si>
    <r>
      <rPr>
        <rFont val="Arial"/>
        <b/>
        <color theme="1"/>
        <sz val="9.0"/>
      </rPr>
      <t xml:space="preserve">Dados ou
Suposição
</t>
    </r>
    <r>
      <rPr>
        <rFont val="Arial"/>
        <b/>
        <color rgb="FF990000"/>
        <sz val="9.0"/>
      </rPr>
      <t xml:space="preserve"> (D ou S) 
</t>
    </r>
    <r>
      <rPr>
        <rFont val="Arial"/>
        <b/>
        <color theme="1"/>
        <sz val="9.0"/>
      </rPr>
      <t xml:space="preserve">Conversa, Pesquisa ou Mapa
</t>
    </r>
    <r>
      <rPr>
        <rFont val="Arial"/>
        <b/>
        <color rgb="FF990000"/>
        <sz val="9.0"/>
      </rPr>
      <t xml:space="preserve"> (C, P ou M)</t>
    </r>
  </si>
  <si>
    <r>
      <rPr>
        <rFont val="Arial"/>
        <b/>
        <color theme="1"/>
      </rPr>
      <t xml:space="preserve">Peso (1 - 4)
4 = Urgente!
</t>
    </r>
    <r>
      <rPr>
        <rFont val="Arial"/>
        <b/>
        <color rgb="FF990000"/>
      </rPr>
      <t>(POV) do Membro</t>
    </r>
  </si>
  <si>
    <r>
      <rPr>
        <rFont val="Arial"/>
        <b/>
        <color theme="1"/>
      </rPr>
      <t xml:space="preserve">Votação Membros ABC... 
(Votos 1/3+1 para F&gt;=3)
</t>
    </r>
    <r>
      <rPr>
        <rFont val="Arial"/>
        <b/>
        <color rgb="FF990000"/>
      </rPr>
      <t>Ponto de Vista
(POV) da EQUIPE</t>
    </r>
  </si>
  <si>
    <r>
      <rPr>
        <rFont val="Arial"/>
        <b/>
        <color theme="1"/>
      </rPr>
      <t xml:space="preserve">Dots 
(dot voting) 
</t>
    </r>
    <r>
      <rPr>
        <rFont val="Arial"/>
        <b/>
        <color rgb="FF990000"/>
      </rPr>
      <t>Demandas</t>
    </r>
  </si>
  <si>
    <r>
      <rPr>
        <rFont val="Arial"/>
        <b/>
        <color theme="1"/>
      </rPr>
      <t xml:space="preserve">Votação Membros ABC... 
(Votos 1/3+1 do total de A)
</t>
    </r>
    <r>
      <rPr>
        <rFont val="Arial"/>
        <b/>
        <color rgb="FF990000"/>
      </rPr>
      <t>(DT-DEFINIR)
 POV do CLIENTE</t>
    </r>
  </si>
  <si>
    <r>
      <rPr>
        <rFont val="Arial"/>
        <b/>
        <color theme="1"/>
      </rPr>
      <t xml:space="preserve">Dots 
(dot voting)
</t>
    </r>
    <r>
      <rPr>
        <rFont val="Arial"/>
        <b/>
        <color rgb="FF990000"/>
      </rPr>
      <t xml:space="preserve"> Insigths</t>
    </r>
  </si>
  <si>
    <t>DEFINIR</t>
  </si>
  <si>
    <r>
      <rPr>
        <rFont val="Arial"/>
        <b/>
        <color theme="1"/>
      </rPr>
      <t xml:space="preserve">Justificativas/Visão forte sobre a descoberta
</t>
    </r>
    <r>
      <rPr>
        <rFont val="Arial"/>
        <b/>
        <color rgb="FF990000"/>
      </rPr>
      <t>Somente para K=SIM</t>
    </r>
  </si>
  <si>
    <t>Impressões das conversas, personas e pesquisa (NECESSIDADES)</t>
  </si>
  <si>
    <t>Ponto de Vista (POV) do Cliente (DORES)</t>
  </si>
  <si>
    <r>
      <rPr>
        <rFont val="Arial"/>
        <b/>
        <color rgb="FF38761D"/>
      </rPr>
      <t>SIM</t>
    </r>
    <r>
      <rPr>
        <rFont val="Arial"/>
        <b/>
        <color theme="1"/>
      </rPr>
      <t>/</t>
    </r>
    <r>
      <rPr>
        <rFont val="Arial"/>
        <b/>
        <color rgb="FF990000"/>
      </rPr>
      <t>NÃO</t>
    </r>
  </si>
  <si>
    <t>Criar desafios onde o usuário precisa realizar uma tarefa comum em uma interface que simula uma deficiência específica.</t>
  </si>
  <si>
    <t>"E se o primeiro nivel nao fosse o código, mas sobre navegação por teclado em um formulário totalmente desordenado? o usuário precisa sentir a frustração antes de aprender a consertar."</t>
  </si>
  <si>
    <t>Gabriela</t>
  </si>
  <si>
    <t>SM</t>
  </si>
  <si>
    <t>Criar uma biblioteca de "vilões" (ex: o botão fantasma sem contraste, o input sem label, o modal que prende o foco, etc)</t>
  </si>
  <si>
    <t>Podemos transformar os critérios de sucesso da WCAG em "missões de resgate". O objetivo não sendo apenas passar no teste mas liberar o conteudo que está preso atrás de uma barreira de design ruim.</t>
  </si>
  <si>
    <t>Categorizar os desafios pelos níveis AA e AAA.</t>
  </si>
  <si>
    <t>"Poderia focar no nível AA, que é o padrão de mercado, mas poderia criar uma visão de 'raio-x' onde o usuario alterna entre a visão do usuario comum e a visão de uma árvore de acessibilidade."</t>
  </si>
  <si>
    <t>DC</t>
  </si>
  <si>
    <t>DAE</t>
  </si>
  <si>
    <t>NÃO</t>
  </si>
  <si>
    <t>Experiência de aprendizado visual e interativa</t>
  </si>
  <si>
    <t>Natureza do trabalho frontend é visual e interativa, o aprendizado precisa acompanhar</t>
  </si>
  <si>
    <t>Renato</t>
  </si>
  <si>
    <t>DM</t>
  </si>
  <si>
    <t>B</t>
  </si>
  <si>
    <t>BEDA</t>
  </si>
  <si>
    <t>SIM</t>
  </si>
  <si>
    <t>Experiência voltada para o desing induz a qualidade do website, com diversidade em desafios</t>
  </si>
  <si>
    <t>Desafio de leitura de tela (scream readers). O usuário ouve uma descrição confusa e precisa corrigir o atributo.</t>
  </si>
  <si>
    <t>O design virtual é apenas a ponta do iceberg. O design invisivel (código semântico) é o que sustenta a experência para milhões de usuários.</t>
  </si>
  <si>
    <t>DP</t>
  </si>
  <si>
    <t>AE</t>
  </si>
  <si>
    <t>Páginas de soluções e botões de dicas para auxiliar o usuário a entender e chegar na resposta correta</t>
  </si>
  <si>
    <t>Estudante consegue aprender seguindo a descrição da solução daquele desafio específico</t>
  </si>
  <si>
    <t>Nícolas Arthur</t>
  </si>
  <si>
    <t>Incluir personas com deficiências reais como personagens do jogo que narram suas dificuldades ao encontrar barreiras.</t>
  </si>
  <si>
    <t>A empatia é mais efetiva quando há uma "pessoa" concreta com nome e história, não apenas regras</t>
  </si>
  <si>
    <t>SP</t>
  </si>
  <si>
    <t>Tela de "debriefing" pós-desafio com explicação técnica, critério WCAG e recursos adicionais</t>
  </si>
  <si>
    <t>O momento pós-desafio é quando o aprendiz está mais receptivo a absorver informação técnica</t>
  </si>
  <si>
    <t>DE</t>
  </si>
  <si>
    <t>ED</t>
  </si>
  <si>
    <t>Importante para usuários que tiveram dificuldade e/ou ajudar a fixar o conhecimento</t>
  </si>
  <si>
    <t>Formato de desafios práticos interativos ao invés de videoaulas ou leitura de documentação</t>
  </si>
  <si>
    <t>Algumas pessoas tem mais facilidade para aprender de forma prática</t>
  </si>
  <si>
    <t>D</t>
  </si>
  <si>
    <t>Também está relacionado com a premissa da nossa aplicação</t>
  </si>
  <si>
    <t>Expandir o pensamento de UX pra incluir acessibilidade</t>
  </si>
  <si>
    <t>Preocupação em guiar o usuário já existe no frontend mas não inclui usuários com deficiência</t>
  </si>
  <si>
    <t>Disponibilidade de tempo do público-alvo favorece sessões curtas de até 10 minutos</t>
  </si>
  <si>
    <t>Estudantes conciliam faculdade com trabalho e projetos, sobrando pouco tempo contínuo para estudo extra</t>
  </si>
  <si>
    <t>BE</t>
  </si>
  <si>
    <t>BEA</t>
  </si>
  <si>
    <t>Deixa a plataforma mais amigável para público mais amplo</t>
  </si>
  <si>
    <t>Conteudo deve ser rápido e de fácil leitura</t>
  </si>
  <si>
    <t>Todos os desafios devem ser feitos em um tempo minimo de 10 minutos</t>
  </si>
  <si>
    <t>Nícolas Pitz</t>
  </si>
  <si>
    <t>Certificações e badges compartilháveis são forte incentivo para completar trilhas de aprendizado</t>
  </si>
  <si>
    <t>Estudantes buscam formas tangíveis de comprovar competências para se diferenciarem no mercado</t>
  </si>
  <si>
    <t>BA</t>
  </si>
  <si>
    <t>Ter streak de atividades feitas em sequencia ao longo dos dias</t>
  </si>
  <si>
    <t>Usuário fica mais ativo na plataforma</t>
  </si>
  <si>
    <t>Ter gamificação de conquistas a partir de conclusões de desafios, sendo possível adquirir consquistas secretas e com descrições</t>
  </si>
  <si>
    <t>Concluindo os desafios, seria legal o usuário poder acompanhar suas consquistas e ver uma pontuação ao longo que estuda</t>
  </si>
  <si>
    <t>Usuário se sente mais interessado em descobrir desafios relacionados ao seu interesse e tem uma gratificação, mesmo que artificial, sobre o que ele faz</t>
  </si>
  <si>
    <t>Tags para demonstrar diferentes categorias de desafios</t>
  </si>
  <si>
    <t>Acessibilidade é um contexto bem amplo, então é necessário categorizar os desafios, para assim terem formas de encontrar desafios semelhantes, caso esse tipo interesse o usuário</t>
  </si>
  <si>
    <t>Ter titulos a partir da pontuação do usuário, como: "Principiante", "Designer", "Frontender", etc</t>
  </si>
  <si>
    <t>Estudando consegue ver sua progressão</t>
  </si>
  <si>
    <t>Exemplos prévios de como realizar uma implementação do desafio</t>
  </si>
  <si>
    <t>Ter algum tipo de exemplo de como realizar o desafio, com um exemplo, que demonstre uma parte da lógica da solução, mas não toda ela</t>
  </si>
  <si>
    <t>Usuários podem compartilhar "Walkthroughs" na plataforma</t>
  </si>
  <si>
    <t xml:space="preserve">Seria legal os usuários conseguirem compartilhar suas formas de chegar ao resultado, pois cada um pode ter sua própria linha de raciocínio ao realizar os desafios
</t>
  </si>
  <si>
    <t>A</t>
  </si>
  <si>
    <t>Sugestão para aplicação de pesos na COLUNA F</t>
  </si>
  <si>
    <t>VOTANTES</t>
  </si>
  <si>
    <t>VOTOS MAX=5</t>
  </si>
  <si>
    <t>VOTOS MAX=4</t>
  </si>
  <si>
    <t>Combinação das Notações</t>
  </si>
  <si>
    <t>Peso Sugerido</t>
  </si>
  <si>
    <t>A (professor)</t>
  </si>
  <si>
    <t>B (Gabriela)</t>
  </si>
  <si>
    <t xml:space="preserve">SC ou DP </t>
  </si>
  <si>
    <t>C (Nicolas A.)</t>
  </si>
  <si>
    <t>DM ou SP</t>
  </si>
  <si>
    <t>D (Nicolas P.)</t>
  </si>
  <si>
    <t>E (Renato)</t>
  </si>
  <si>
    <t>Librum</t>
  </si>
  <si>
    <r>
      <rPr>
        <rFont val="Arial"/>
        <b/>
        <color theme="1"/>
        <sz val="9.0"/>
      </rPr>
      <t xml:space="preserve">Dados ou
Suposição
</t>
    </r>
    <r>
      <rPr>
        <rFont val="Arial"/>
        <b/>
        <color rgb="FF990000"/>
        <sz val="9.0"/>
      </rPr>
      <t xml:space="preserve"> (D ou S) 
</t>
    </r>
    <r>
      <rPr>
        <rFont val="Arial"/>
        <b/>
        <color theme="1"/>
        <sz val="9.0"/>
      </rPr>
      <t xml:space="preserve">Conversa, Pesquisa ou Mapa
</t>
    </r>
    <r>
      <rPr>
        <rFont val="Arial"/>
        <b/>
        <color rgb="FF990000"/>
        <sz val="9.0"/>
      </rPr>
      <t xml:space="preserve"> (C, P ou M)</t>
    </r>
  </si>
  <si>
    <r>
      <rPr>
        <rFont val="Arial"/>
        <b/>
        <color theme="1"/>
      </rPr>
      <t xml:space="preserve">Peso (1 - 4)
4 = Urgente!
</t>
    </r>
    <r>
      <rPr>
        <rFont val="Arial"/>
        <b/>
        <color rgb="FF990000"/>
      </rPr>
      <t>(POV) do Membro</t>
    </r>
  </si>
  <si>
    <r>
      <rPr>
        <rFont val="Arial"/>
        <b/>
        <color theme="1"/>
      </rPr>
      <t xml:space="preserve">Votação Membros ABC... 
(Votos 1/3+1 para F&gt;=3)
</t>
    </r>
    <r>
      <rPr>
        <rFont val="Arial"/>
        <b/>
        <color rgb="FF990000"/>
      </rPr>
      <t>Ponto de Vista
(POV) da EQUIPE</t>
    </r>
  </si>
  <si>
    <r>
      <rPr>
        <rFont val="Arial"/>
        <b/>
        <color theme="1"/>
      </rPr>
      <t xml:space="preserve">Dots 
(dot voting) 
</t>
    </r>
    <r>
      <rPr>
        <rFont val="Arial"/>
        <b/>
        <color rgb="FF990000"/>
      </rPr>
      <t>Demandas</t>
    </r>
  </si>
  <si>
    <r>
      <rPr>
        <rFont val="Arial"/>
        <b/>
        <color theme="1"/>
      </rPr>
      <t xml:space="preserve">Votação Membros ABC... 
(Votos 1/3+1 do total de A)
</t>
    </r>
    <r>
      <rPr>
        <rFont val="Arial"/>
        <b/>
        <color rgb="FF990000"/>
      </rPr>
      <t>(DT-DEFINIR)
 POV do CLIENTE</t>
    </r>
  </si>
  <si>
    <r>
      <rPr>
        <rFont val="Arial"/>
        <b/>
        <color theme="1"/>
      </rPr>
      <t xml:space="preserve">Dots 
(dot voting)
</t>
    </r>
    <r>
      <rPr>
        <rFont val="Arial"/>
        <b/>
        <color rgb="FF990000"/>
      </rPr>
      <t xml:space="preserve"> Insigths</t>
    </r>
  </si>
  <si>
    <r>
      <rPr>
        <rFont val="Arial"/>
        <b/>
        <color theme="1"/>
      </rPr>
      <t xml:space="preserve">Justificativas/Visão forte sobre a descoberta
</t>
    </r>
    <r>
      <rPr>
        <rFont val="Arial"/>
        <b/>
        <color rgb="FF990000"/>
      </rPr>
      <t>Somente para K=SIM</t>
    </r>
  </si>
  <si>
    <r>
      <rPr>
        <rFont val="Arial"/>
        <b/>
        <color rgb="FF38761D"/>
      </rPr>
      <t>SIM</t>
    </r>
    <r>
      <rPr>
        <rFont val="Arial"/>
        <b/>
        <color theme="1"/>
      </rPr>
      <t>/</t>
    </r>
    <r>
      <rPr>
        <rFont val="Arial"/>
        <b/>
        <color rgb="FF990000"/>
      </rPr>
      <t>NÃO</t>
    </r>
  </si>
  <si>
    <t xml:space="preserve">Recompesa visual, onde o avatar mude ou ganhe coisas novas quando subir de nível </t>
  </si>
  <si>
    <t>Tela confusa, se não achar onde clica para ler ou para ver as medalhas</t>
  </si>
  <si>
    <t>Maria</t>
  </si>
  <si>
    <t>SC</t>
  </si>
  <si>
    <t>BCD</t>
  </si>
  <si>
    <t>DABE</t>
  </si>
  <si>
    <t>Deixar o usuário entretido no jogo é algo fundamental e prêmios iram fazer isso.</t>
  </si>
  <si>
    <t>Recompensa imediata pelo esforço</t>
  </si>
  <si>
    <t>Sem motivação para terminar um livro</t>
  </si>
  <si>
    <t>Bernardo</t>
  </si>
  <si>
    <t>Ter avatar e prêmios para editar esse avatar.</t>
  </si>
  <si>
    <t>Necessidade de criar personagens para que o jogo não fique desinteressante</t>
  </si>
  <si>
    <t>Criar um vilão que desafia o usuário para ganhar cada fase.</t>
  </si>
  <si>
    <t>Ver o XP subir após ler</t>
  </si>
  <si>
    <t>Ter uma automação que ao responder corretamento o quis a barra de XP aumenta</t>
  </si>
  <si>
    <t>BCEDA</t>
  </si>
  <si>
    <t>Sentir que está ganhando o jogo</t>
  </si>
  <si>
    <t>Sentir que as perguntas parecem prova da escola</t>
  </si>
  <si>
    <t>EB</t>
  </si>
  <si>
    <t>Salvar automaticamente o progresso da leitura com barra visual de avanço no livro</t>
  </si>
  <si>
    <t>Quando fecha o app e retorna depois, não encontra onde parou no texto e desiste de continuar a leitura</t>
  </si>
  <si>
    <t>Giuliano</t>
  </si>
  <si>
    <t>BEDCA</t>
  </si>
  <si>
    <t xml:space="preserve">Salvar automaticamente o progresso e ter objetivos curtos e diários são funções bem importantes para o conforto e a permanência dos usuários na aplicação. </t>
  </si>
  <si>
    <t>Objetivos curtos, gosta de ter uma missão do dia (check-in diário)</t>
  </si>
  <si>
    <t>Ficar travada caso erre o quiz</t>
  </si>
  <si>
    <t>BCED</t>
  </si>
  <si>
    <t>Usuario do Duolingo diz que o jogo está tirando a possibilidade do usuário jogar.</t>
  </si>
  <si>
    <t>Atualizações recentes limitaram quanto o usuário pode estudar por dia.</t>
  </si>
  <si>
    <t>C</t>
  </si>
  <si>
    <t>Evitar erro de desenvolvimento do jogo (Duolingo)</t>
  </si>
  <si>
    <t>Mesmo acertando, o usuário perde “energia”.</t>
  </si>
  <si>
    <t>Biblioteca com filtros visuais por gênero (aventura, terror, humor, ficção científica) e por tempo estimado de leitura</t>
  </si>
  <si>
    <t>Não sabe que tipo de livro gosta porque nunca teve acesso facilitado a diferentes gêneros literários, o contato sempre foi pelo livro obrigatório</t>
  </si>
  <si>
    <t>DA</t>
  </si>
  <si>
    <t>Descobrir livros do gênero que já gosta sem precisar pesquisar</t>
  </si>
  <si>
    <t>Achar bons livros é difícil e o processo é fragmentado</t>
  </si>
  <si>
    <t>Antonio</t>
  </si>
  <si>
    <t>CA</t>
  </si>
  <si>
    <t>Sinopses curtas em linguagem jovem (tipo "trailer do livro") antes de o usuário decidir começar a leitura</t>
  </si>
  <si>
    <t>Livros parecem chatos antes mesmo de abrir. Nunca recebeu uma apresentação do livro que se conectasse com seus interesses, tornando a entrada na leitura uma barreira ainda maior.</t>
  </si>
  <si>
    <t>Ter um modo que bloqueia distrações durante a leitura</t>
  </si>
  <si>
    <t>Ler pelo celular gera muita distração e dói a vista</t>
  </si>
  <si>
    <t>Ter uma lista visual do que leu, está lendo e quer ler</t>
  </si>
  <si>
    <t>Usa o Google Keep improvisado para organizar livros</t>
  </si>
  <si>
    <t>Uma boa UX pode fidelizar um usuário</t>
  </si>
  <si>
    <t xml:space="preserve">Proporcionar uma boa experiência de navegação e leitura tornam utilizar o aplicativo agradável, fazendo o usuário incluir o seu uso em sua rotina. </t>
  </si>
  <si>
    <t>É muito importate ter uma boa interface de usuário</t>
  </si>
  <si>
    <t>Interface poluída atrapalha a usabilidade</t>
  </si>
  <si>
    <t>Muita informação na tela faz com que o usuário se sinta incomodado</t>
  </si>
  <si>
    <t>AD</t>
  </si>
  <si>
    <t>Não conseguir personlizar a tela (fonte, cor de fundo, espaçamento)</t>
  </si>
  <si>
    <t>É uma questão de acessibilidade conseguir adaptar algumas coisas da tela</t>
  </si>
  <si>
    <t>EA</t>
  </si>
  <si>
    <t>Um aplicativo pode se tornar chato de se interagir, limitando muito o seu tempo de uso</t>
  </si>
  <si>
    <t>A interface do aplicativo não atrai o usuário, sendo "chata" ou ruim de se interagir. Aplicação de UX fraca.</t>
  </si>
  <si>
    <t>Interface do usuário deve relacionar com o público alvo</t>
  </si>
  <si>
    <t>Aplicativos sem personalidade podem afastar usuários, até mesmo antes de download do mesmo</t>
  </si>
  <si>
    <t>Modo noturno automático e configuração de tamanho de fonte e espaçamento para leitura confortável pelo celular</t>
  </si>
  <si>
    <t>Jovens leem mais à noite. Tela com brilho alto e fonte pequena causam desconforto visual e são citados como motivo de abandono da leitura digital</t>
  </si>
  <si>
    <t>Quiz com dificuldade adaptativa: questões mais fáceis para quem erra muito e mais desafiadoras para quem acerta</t>
  </si>
  <si>
    <t>Dados de plataformas adaptativas (Khan Academy, Duolingo) mostram que questões fora da "zona de desenvolvimento proximal" causam abandono por frustração ou tédio</t>
  </si>
  <si>
    <t>CDA</t>
  </si>
  <si>
    <t>Ter histórias que conecte com os gostos dos leitores e adaptar-se ao momento de leitura dos leitores mostra aos usuários a preocupação que a solução tem com o seu desenvolvimento.</t>
  </si>
  <si>
    <t>Uma boa leitura pode proporcionar sentimentos variados ao leitor</t>
  </si>
  <si>
    <t>Uma boa curadoria dos livros pode guiar corretamente os leitores através dos sentimentos que se tem sobre as obras literárias, aprimorando sua experiência literária</t>
  </si>
  <si>
    <t>Histórias que conectem com seus gostos</t>
  </si>
  <si>
    <t>Dificuldade de concentração em textos longos</t>
  </si>
  <si>
    <t>Notificações podem ser bons métodos de chamar atenção dos usuários para leitura diária</t>
  </si>
  <si>
    <t>Rotinas corridas e as distrações da vida moderna podem fazer as pessoas se esquecerem de hábitos como a leitura. Lembrar através de notificações pode ser uma boa ideia.</t>
  </si>
  <si>
    <t>Modo de leitura cooperativo onde amigos possam ler o mesmo livro juntos e comentar trechos em tempo real</t>
  </si>
  <si>
    <t>Só assiste séries e joga o que os amigos estão consumindo, a leitura é percebida como atividade solitária e sem status social entre os colegas.</t>
  </si>
  <si>
    <t>VOTOS MAX=8</t>
  </si>
  <si>
    <t>B (Antonio)</t>
  </si>
  <si>
    <t>C (Bernardo)</t>
  </si>
  <si>
    <t>D (Giuliano)</t>
  </si>
  <si>
    <t>E (Maria)</t>
  </si>
  <si>
    <t>ManéGuide</t>
  </si>
  <si>
    <r>
      <rPr>
        <rFont val="Arial"/>
        <b/>
        <color theme="1"/>
        <sz val="9.0"/>
      </rPr>
      <t xml:space="preserve">Dados ou
Suposição
</t>
    </r>
    <r>
      <rPr>
        <rFont val="Arial"/>
        <b/>
        <color rgb="FF990000"/>
        <sz val="9.0"/>
      </rPr>
      <t xml:space="preserve"> (D ou S) 
</t>
    </r>
    <r>
      <rPr>
        <rFont val="Arial"/>
        <b/>
        <color theme="1"/>
        <sz val="9.0"/>
      </rPr>
      <t xml:space="preserve">Conversa, Pesquisa ou Mapa
</t>
    </r>
    <r>
      <rPr>
        <rFont val="Arial"/>
        <b/>
        <color rgb="FF990000"/>
        <sz val="9.0"/>
      </rPr>
      <t xml:space="preserve"> (C, P ou M)</t>
    </r>
  </si>
  <si>
    <r>
      <rPr>
        <rFont val="Arial"/>
        <b/>
        <color theme="1"/>
      </rPr>
      <t xml:space="preserve">Peso (1 - 4)
4 = Urgente!
</t>
    </r>
    <r>
      <rPr>
        <rFont val="Arial"/>
        <b/>
        <color rgb="FF990000"/>
      </rPr>
      <t>(POV) do Membro</t>
    </r>
  </si>
  <si>
    <r>
      <rPr>
        <rFont val="Arial"/>
        <b/>
        <color theme="1"/>
      </rPr>
      <t xml:space="preserve">Votação Membros ABC... 
(Votos 1/3+1 para F&gt;=3)
</t>
    </r>
    <r>
      <rPr>
        <rFont val="Arial"/>
        <b/>
        <color rgb="FF990000"/>
      </rPr>
      <t>Ponto de Vista
(POV) da EQUIPE</t>
    </r>
  </si>
  <si>
    <r>
      <rPr>
        <rFont val="Arial"/>
        <b/>
        <color theme="1"/>
      </rPr>
      <t xml:space="preserve">Dots 
(dot voting) 
</t>
    </r>
    <r>
      <rPr>
        <rFont val="Arial"/>
        <b/>
        <color rgb="FF990000"/>
      </rPr>
      <t>Demandas</t>
    </r>
  </si>
  <si>
    <r>
      <rPr>
        <rFont val="Arial"/>
        <b/>
        <color theme="1"/>
      </rPr>
      <t xml:space="preserve">Votação Membros ABC... 
(Votos 1/3+1 do total de A)
</t>
    </r>
    <r>
      <rPr>
        <rFont val="Arial"/>
        <b/>
        <color rgb="FF990000"/>
      </rPr>
      <t>(DT-DEFINIR)
 POV do CLIENTE</t>
    </r>
  </si>
  <si>
    <r>
      <rPr>
        <rFont val="Arial"/>
        <b/>
        <color theme="1"/>
      </rPr>
      <t xml:space="preserve">Dots 
(dot voting)
</t>
    </r>
    <r>
      <rPr>
        <rFont val="Arial"/>
        <b/>
        <color rgb="FF990000"/>
      </rPr>
      <t xml:space="preserve"> Insigths</t>
    </r>
  </si>
  <si>
    <r>
      <rPr>
        <rFont val="Arial"/>
        <b/>
        <color theme="1"/>
      </rPr>
      <t xml:space="preserve">Justificativas/Visão forte sobre a descoberta
</t>
    </r>
    <r>
      <rPr>
        <rFont val="Arial"/>
        <b/>
        <color rgb="FF990000"/>
      </rPr>
      <t>Somente para K=SIM</t>
    </r>
  </si>
  <si>
    <r>
      <rPr>
        <rFont val="Arial"/>
        <b/>
        <color rgb="FF38761D"/>
      </rPr>
      <t>SIM</t>
    </r>
    <r>
      <rPr>
        <rFont val="Arial"/>
        <b/>
        <color theme="1"/>
      </rPr>
      <t>/</t>
    </r>
    <r>
      <rPr>
        <rFont val="Arial"/>
        <b/>
        <color rgb="FF990000"/>
      </rPr>
      <t>NÃO</t>
    </r>
  </si>
  <si>
    <t xml:space="preserve">Usuários precisam de informações que os ajudem a avaliar a segurança e o custo-benefício de um lugar antes de ir, especialmente em locais que nunca frequentaram
</t>
  </si>
  <si>
    <t>Receio de ir em lugares que não conhece, pois não sabe se é seguro e vale à pena</t>
  </si>
  <si>
    <t>Haydée</t>
  </si>
  <si>
    <t>DEBCA</t>
  </si>
  <si>
    <t>DEA</t>
  </si>
  <si>
    <t>A falta de informações confiáveis sobre segurança e custo-benefício faz com que usuários evitem lugares que não conhecem, deixando de viver novas experiências por puro receio. Sem referências que gerem confiança, a insegurança paralisa a escolha. Uma plataforma que entrega avaliações objetivas e dicas de moradores sobre esses aspectos transforma o desconhecido em algo seguro e acessível, incentivando o usuário a explorar sem medo.</t>
  </si>
  <si>
    <t>Usuários precisam encontrar eventos e programações de forma centralizada, sem precisar garimpar em múltiplas plataformas</t>
  </si>
  <si>
    <t xml:space="preserve">Sente frustração porque a informação está muito espalhada em canais diversificados, o que dificulta decidir o que fazer; às vezes fica sabendo de eventos só depois que já aconteceram
</t>
  </si>
  <si>
    <t>DECB</t>
  </si>
  <si>
    <t>A informação espalhada em múltiplos canais já fez usuários perderem eventos e desistirem de procurar, gerando frustração e cansaço. Ao mesmo tempo, quem conhece lugares únicos não tem espaço para compartilhar dicas, e os guias tradicionais ignoram a Grande Florianópolis. Uma plataforma que centraliza eventos e dá visibilidade aos atrativos invisíveis dos roteiros resolve os dois lados: quem busca o que fazer hoje encontra tudo organizado, e quem quer descobrir lugares diferentes encontra conteúdo exclusivo, fortalecendo o pertencimento dos moradores da região continental e conquistando um território inexplorado pela concorrência.</t>
  </si>
  <si>
    <t>Usuários precisam de um espaço para compartilhar e 
descobrir atrativos fora dos roteiros tradicional, 
como transporte de barco e cachoeiras</t>
  </si>
  <si>
    <t>Sente que lugares únicos e interessantes da região 
continental ficam invisíveis porque os guias atuais 
só mostram a ilha</t>
  </si>
  <si>
    <t>Ingridy</t>
  </si>
  <si>
    <t>Filtro dinâmico: "O que fazer com chuva em Floripa".</t>
  </si>
  <si>
    <t>Filtro dinâmico: "O que fazer com chuva em Floripa". 4ª pesquisa mais feita no Google Trends; falta de opções claras no clima adverso.</t>
  </si>
  <si>
    <t>Isadora</t>
  </si>
  <si>
    <t>DEBC</t>
  </si>
  <si>
    <t>Usuários precisam filtrar opções de lazer por contexto (ir sozinho, com poucos ou muitos amigos), para tomar decisões mais assertivas</t>
  </si>
  <si>
    <t>Faz diferença se vai sozinha, com poucos ou muitos amigos ao escolher um programa</t>
  </si>
  <si>
    <t>DEB</t>
  </si>
  <si>
    <t>O contexto social muda completamente a escolha do programa. Ir sozinho, com poucos ou muitos amigos exige tipos de lugar e experiências diferentes. As plataformas atuais ignoram isso e entregam opções genéricas.</t>
  </si>
  <si>
    <t>Guia de locais para frequentar com amigos</t>
  </si>
  <si>
    <t>Necessidade de encontrar opções para sair em grupo e socializar.</t>
  </si>
  <si>
    <t xml:space="preserve">Usuários precisam de uma interface simples para a opção de compartilhamento de "dicas e opiniões" no site </t>
  </si>
  <si>
    <t>Alguns usuários deixam de contribuir com suas avaliações devido a frustrações com a interface/ funcionamento desnecessáriamente complicado desse aspecto em um site</t>
  </si>
  <si>
    <t>Sant</t>
  </si>
  <si>
    <t>DEC</t>
  </si>
  <si>
    <t>BC</t>
  </si>
  <si>
    <t>A informação desatualizada ou inconsistente entre plataformas já fez usuários desistirem de sair. Ao mesmo tempo, quem tem boas dicas está disposto a compartilhá-las, mas interfaces complicadas travam essa contribuição. Uma plataforma que una informação confiável com recomendações de pessoas de confiança resolve os dois lados do problema: quem consome e quem contribui.</t>
  </si>
  <si>
    <t>Sistema de Recomendações e Dicas dos Usuários.</t>
  </si>
  <si>
    <t>Ele estaria disposto a compartilhar dicas e quer indicações de quem confia.</t>
  </si>
  <si>
    <t xml:space="preserve">Usuários precisam de informações confiáveis e atualizadas sobre horários de funcionamento e programação ao vivo, evitando deslocamentos desnecessários
</t>
  </si>
  <si>
    <t xml:space="preserve">Relata que horários inconsistentes entre site e Instagram geram insegurança e às vezes fazem desistir de ir
</t>
  </si>
  <si>
    <t>Centralização de eventos (Agenda Cultural/Shows).</t>
  </si>
  <si>
    <t>Sente que a divulgação em Floripa é "muito ruim" e não aproveita tudo.</t>
  </si>
  <si>
    <t>Selo de "Local Acolhedor" ou Filtro Safe Space (LGBTQIA+).</t>
  </si>
  <si>
    <t>Medo de sofrer preconceito ou homofobia (experiência negativa em blocos).</t>
  </si>
  <si>
    <t>A insegurança e o medo de sofrer preconceito (baseado em experiências negativas reais) impedem o consumo e a circulação desse público. Um selo validado reduz a fricção da escolha e garante segurança psicológica, transformando o "medo de ir" em "confiança para frequentar"</t>
  </si>
  <si>
    <t>Moradores de Florianópolis precisam de um guia voltado para o cotidiano local, não apenas para turistas</t>
  </si>
  <si>
    <t xml:space="preserve">A pesquisa aponta que, apesar de Floripa ter cerca de 500 mil habitantes, a maioria dos guias é direcionada ao público visitante, deixando moradores sem referências relevantes para o seu dia a dia
</t>
  </si>
  <si>
    <t>CB</t>
  </si>
  <si>
    <t>BCA</t>
  </si>
  <si>
    <t>A fragmentação da informação gera uma "fadiga de decisão". Atualmente, o morador perde tempo buscando em várias fontes sem sucesso, o que resulta em frustração. Centralizar o imediatismo ("o que tem pra hoje") resolve a dor da ineficiência e da falta de resposta satisfatória em um só lugar.</t>
  </si>
  <si>
    <t>Usuários precisam de uma fonte confiável e recorrente para descobrir o que fazer 'hoje' ou 'neste fim de semana'</t>
  </si>
  <si>
    <t>Quem mora em Floripa não tem para onde olhar quando quer decidir rápido o que fazer. A busca pelo 'o que fazer hoje' virou rotina justamente porque nunca há uma resposta satisfatória no mesmo lugar</t>
  </si>
  <si>
    <t>Usuários precisam de conteúdos que equilibrem entretenimento e 
valores pessoais, como música gospel e podcasts sobre temas 
específicos</t>
  </si>
  <si>
    <t>Sente que as recomendações de lazer são 
genéricas e não consideram interesses 
mais específicos ou de nicho</t>
  </si>
  <si>
    <t xml:space="preserve">Usuários precisam encontrar facilmente opções relacionadas ao que querem fazer, de forma intuitiva e sem esforço de busca
</t>
  </si>
  <si>
    <t>Encontrar facilmente opções relacionadas ao que quer fazer</t>
  </si>
  <si>
    <t>A interatividade com o usuário, além da praticidade necessária para que ela seja aplicada de forma correta é de extrema importância para essa plataforma, pois a destaca das demais, garantindo engajamento e a atualização constante das informações sobre eventos, locais e etc.</t>
  </si>
  <si>
    <t>Usuários e estabelecimentos precisam de um modelo colaborativo 
onde qualquer pessoa possa contribuir com dicas e atualizações</t>
  </si>
  <si>
    <t>Os principais concorrentes operam com modelo 
engessado (apenas colunistas no Guia Floripa) 
(TripAdvisor com reclamações não respondidas)</t>
  </si>
  <si>
    <t xml:space="preserve">Usuários precisam poder filtrar atividades em relação a seus gostos e hábitos </t>
  </si>
  <si>
    <t>Alguns usuários  não se sentem confortáveis/ satisfeitos em todos os tipos de atividades</t>
  </si>
  <si>
    <t>Interface Minimalista</t>
  </si>
  <si>
    <t>Concorrente possui interface "antiga" com parágrafos e textos excessivos</t>
  </si>
  <si>
    <t>Usuários precisam de suporte e canal de atendimento 
para resolver problemas com informações de estabelecimentos</t>
  </si>
  <si>
    <t>Donos de estabelecimentos e usuários não 
conseguem atualizar dados ou receber suporte 
nas plataformas existentes, gerando informações 
desatualizadas</t>
  </si>
  <si>
    <t>Ferramenta para predição de lotação de atrações e locais na cidade</t>
  </si>
  <si>
    <t>Tentar descobrir qual é a melhor maneira de se visitar um local, em relação a tempo, meio de transporte e dia da semana é frustrante quando não se há uma estimativa a se seguir, e pode levar a perda de tempo, dinheiro e interesse nas atrações</t>
  </si>
  <si>
    <t>Confirmação de presença e convite para amigos no App.</t>
  </si>
  <si>
    <t>Organizar saídas com amigos "sempre vira uma bagunça".</t>
  </si>
  <si>
    <t>É uma funcionalidade que resultaria em mais tempo/ frequência de uso, devido a necessidade de abrir a plataforma não só para criação de eventos, mas também a confirmação dos membros, engajando usuários.</t>
  </si>
  <si>
    <t>Opções de lazer acessíveis e variadas na cidade.</t>
  </si>
  <si>
    <t>Sente-se preso na cidade por falta de opções de passeio conhecidas ou interessantes</t>
  </si>
  <si>
    <t>Passeios e viagens de baixo custo (baixo poder aquisitivo).</t>
  </si>
  <si>
    <t>Não possui poder aquisitivo para grandes viagens ou passeios caros.</t>
  </si>
  <si>
    <t>Turistas e visitantes de outras cidades e estados precisam de informações mais aprofundadas do que moradores locais sobre o turismo Florianópolis. Apesar de já existirem diversos guias voltados para esse público, eles ainda carecem de especificidade e atualizações mais frequêntes</t>
  </si>
  <si>
    <t>Sente-se frustrado com informações desatualizadas, roteiros de atividades repetitivos ou pouco personalizados a sua experiência</t>
  </si>
  <si>
    <t>Turistas internacionais (argentinos, chilenos, portugueses) 
precisam de conteúdos e filtros adaptados às suas origens e 
expectativas de viagem</t>
  </si>
  <si>
    <t>O crescimento expressivo de turistas estrangeiros 
(71,7% em 2024) não é acompanhado por guias 
que considerem idioma, cultura e necessidades 
específicas desse público</t>
  </si>
  <si>
    <t>Mais informações sobre o turismo na região ao redor de Florianópolis</t>
  </si>
  <si>
    <t>Algumas oportunidades para turismo passam despercebidas enquanto outras se tornam super saturadas com o fluxo de visitantes, trazendo frustração para todos.</t>
  </si>
  <si>
    <t>B (Haydee)</t>
  </si>
  <si>
    <t>C (Ingridy)</t>
  </si>
  <si>
    <t>D (Isadora)</t>
  </si>
  <si>
    <t>E (Sant)</t>
  </si>
  <si>
    <t>Pathly</t>
  </si>
  <si>
    <r>
      <rPr>
        <rFont val="Arial"/>
        <b/>
        <color theme="1"/>
        <sz val="9.0"/>
      </rPr>
      <t xml:space="preserve">Dados ou
Suposição
</t>
    </r>
    <r>
      <rPr>
        <rFont val="Arial"/>
        <b/>
        <color rgb="FF990000"/>
        <sz val="9.0"/>
      </rPr>
      <t xml:space="preserve"> (D ou S) 
</t>
    </r>
    <r>
      <rPr>
        <rFont val="Arial"/>
        <b/>
        <color theme="1"/>
        <sz val="9.0"/>
      </rPr>
      <t xml:space="preserve">Conversa, Pesquisa ou Mapa
</t>
    </r>
    <r>
      <rPr>
        <rFont val="Arial"/>
        <b/>
        <color rgb="FF990000"/>
        <sz val="9.0"/>
      </rPr>
      <t xml:space="preserve"> (C, P ou M)</t>
    </r>
  </si>
  <si>
    <r>
      <rPr>
        <rFont val="Arial"/>
        <b/>
        <color theme="1"/>
      </rPr>
      <t xml:space="preserve">Peso (1 - 4)
4 = Urgente!
</t>
    </r>
    <r>
      <rPr>
        <rFont val="Arial"/>
        <b/>
        <color rgb="FF990000"/>
      </rPr>
      <t>(POV) do Membro</t>
    </r>
  </si>
  <si>
    <r>
      <rPr>
        <rFont val="Arial"/>
        <b/>
        <color theme="1"/>
      </rPr>
      <t xml:space="preserve">Votação Membros ABC... 
(Votos 1/3+1 para F&gt;=3)
</t>
    </r>
    <r>
      <rPr>
        <rFont val="Arial"/>
        <b/>
        <color rgb="FF990000"/>
      </rPr>
      <t>Ponto de Vista
(POV) da EQUIPE</t>
    </r>
  </si>
  <si>
    <r>
      <rPr>
        <rFont val="Arial"/>
        <b/>
        <color theme="1"/>
      </rPr>
      <t xml:space="preserve">Dots 
(dot voting) 
</t>
    </r>
    <r>
      <rPr>
        <rFont val="Arial"/>
        <b/>
        <color rgb="FF990000"/>
      </rPr>
      <t>Demandas</t>
    </r>
  </si>
  <si>
    <r>
      <rPr>
        <rFont val="Arial"/>
        <b/>
        <color theme="1"/>
      </rPr>
      <t xml:space="preserve">Votação Membros ABC... 
(Votos 1/3+1 do total de A)
</t>
    </r>
    <r>
      <rPr>
        <rFont val="Arial"/>
        <b/>
        <color rgb="FF990000"/>
      </rPr>
      <t>(DT-DEFINIR)
 POV do CLIENTE</t>
    </r>
  </si>
  <si>
    <r>
      <rPr>
        <rFont val="Arial"/>
        <b/>
        <color theme="1"/>
      </rPr>
      <t xml:space="preserve">Dots 
(dot voting)
</t>
    </r>
    <r>
      <rPr>
        <rFont val="Arial"/>
        <b/>
        <color rgb="FF990000"/>
      </rPr>
      <t xml:space="preserve"> Insigths</t>
    </r>
  </si>
  <si>
    <r>
      <rPr>
        <rFont val="Arial"/>
        <b/>
        <color theme="1"/>
      </rPr>
      <t xml:space="preserve">Justificativas/Visão forte sobre a descoberta
</t>
    </r>
    <r>
      <rPr>
        <rFont val="Arial"/>
        <b/>
        <color rgb="FF990000"/>
      </rPr>
      <t>Somente para K=SIM</t>
    </r>
  </si>
  <si>
    <r>
      <rPr>
        <rFont val="Arial"/>
        <b/>
        <color rgb="FF38761D"/>
      </rPr>
      <t>SIM</t>
    </r>
    <r>
      <rPr>
        <rFont val="Arial"/>
        <b/>
        <color theme="1"/>
      </rPr>
      <t>/</t>
    </r>
    <r>
      <rPr>
        <rFont val="Arial"/>
        <b/>
        <color rgb="FF990000"/>
      </rPr>
      <t>NÃO</t>
    </r>
  </si>
  <si>
    <t>Validação de progresso tangivel: forma de visualizar que está progredindo, através de trilhas e rankings</t>
  </si>
  <si>
    <t>Forma de combater a vontade de desistir dos usuários</t>
  </si>
  <si>
    <t>Victor B</t>
  </si>
  <si>
    <t>EBDAC</t>
  </si>
  <si>
    <t>BEDC</t>
  </si>
  <si>
    <t xml:space="preserve">É o que da retorno de dopamina ao usuário "viciando" e querendo sempre evoluir e entrar todos os dias na aplicação </t>
  </si>
  <si>
    <t>Certificado de conclusão ao finalizar uma trilha</t>
  </si>
  <si>
    <t>Sem reconhecimento formal, o aluno não sente que a conclusão tem valor real</t>
  </si>
  <si>
    <t>Victor L</t>
  </si>
  <si>
    <t>Sistema de recompensas e conquistas (badges/troféus) ao completar etapas da trilha</t>
  </si>
  <si>
    <t>O aluno não sente que pequenas vitórias ao longo do aprendizado têm valor ou reconhecimento, o que reduz a motivação de continuar</t>
  </si>
  <si>
    <t>João</t>
  </si>
  <si>
    <t>Notificações e lembretes para manter a consistência nos estudos</t>
  </si>
  <si>
    <t>Falta de rotina faz o usuário sumir da plataforma após poucos dias de uso</t>
  </si>
  <si>
    <t>Mecanismos de ensino que compitam com a distração do celular (estilo Duolingo/Habitica).</t>
  </si>
  <si>
    <t>Alunos constantemente dispersos em redes sociais durante a aula; o ensino tradicional não consegue mais reter o foco da "geração Z".</t>
  </si>
  <si>
    <t>Lucas</t>
  </si>
  <si>
    <t>Área de comunidade ou fórum por trilha para troca entre alunos</t>
  </si>
  <si>
    <t>Estudo solitário reduz o engajamento e aumenta a sensação de desmotivação</t>
  </si>
  <si>
    <t>Feedback instantâneo para saber se acertou ou errou a lógica na mesma hora.</t>
  </si>
  <si>
    <t>Falta de tempo e sobrecarga com a rotina de estudos + transporte público.</t>
  </si>
  <si>
    <t>Conteúdos mobile-first rápidos e práticos para consumir no ônibus.</t>
  </si>
  <si>
    <t>Abismo entre teoria e prática (trava na hora de
codar de verdade).</t>
  </si>
  <si>
    <t>AEBDC</t>
  </si>
  <si>
    <t>O público do Pathly estuda nos intervalos do dia - transporte, almoço, entre aulas. Conteúdos acima de 15 minutos são abandonados porque o contexto muda antes do término. Módulos densos e curtos (conceito + exercício em um bloco) permitem ciclos completos de aprendizado em janelas curtas, aumentando a taxa de conclusão e a sensação de progresso diário.</t>
  </si>
  <si>
    <t>Aulas e atividades curtas, alta densidade de ensino com pouco tempo de duração</t>
  </si>
  <si>
    <t>Com pouco tempo restante para ensino o ideal seria poder contemplar o conteúdo, durante viagens de onibús ou intervalos curtos durante o dia, 10 a 15 minutos</t>
  </si>
  <si>
    <t>Explicações alternativas e mais didáticas para conteúdos complexos, utilizando analogias simples (ex: passo a passo estilo “receita de bolo”).</t>
  </si>
  <si>
    <t>Dificuldade de compreensão com a explicação padrão do curso, gerando necessidade de abordagens mais simples e detalhadas para entender conceitos (ex: implementar um for de Fibonacci).</t>
  </si>
  <si>
    <t>Linguagem que atende a todos os públicos</t>
  </si>
  <si>
    <t>Com o objetivo de combater a barreira dos termos em inglês sem tradução, a ideia é sempre disponibilizar uma explicação para algum termo técnico através de uma atividade/tarefa</t>
  </si>
  <si>
    <t>EBDC</t>
  </si>
  <si>
    <t xml:space="preserve">Ferramenta simples de usar que não exija tempo excessivo de configuração </t>
  </si>
  <si>
    <t>Dificuldade em transformar audiência fiel em um produto estruturado e rentável</t>
  </si>
  <si>
    <t>EBD</t>
  </si>
  <si>
    <t>O objetivo do projeto é: criar uma aplicação que permita a um usuário criar sua própria de trilha de aprendizado de forma simples e intuitiva, e a outros usuários, usufruir dessa trilha para aprender o conteúdo desejado. Esse insight é a premissa do projeto, e a dor que estamos tentando solucionar.</t>
  </si>
  <si>
    <t>Gamificação acessível para pessoas que não possuem formação em design ou tecnologia.</t>
  </si>
  <si>
    <t>A curva de aprendizado é muito alta em ferramentas de Game Design, fazendo a pessoa desistir de inovar por falta de domínio técnico.</t>
  </si>
  <si>
    <t>Reter a atenção dos alunos e garantir que eles estão aprendendo corretamente</t>
  </si>
  <si>
    <t>Medo de que os alunos usem IA para "vencer" o sistema sem aprender.</t>
  </si>
  <si>
    <t>ADE</t>
  </si>
  <si>
    <t>Garantir que, assim como a interface, o conteúdo também está fluindo bem para que o abandono de usuários após o primeiro uso seja menor quando comparado aos concorrentes de seus similares</t>
  </si>
  <si>
    <t xml:space="preserve">Recursos que aumentem o engajamento e reduzam o abandono (gamificação, progresso visual) </t>
  </si>
  <si>
    <t>Sensação de que o esforço de preparar a aula é maior que o retorno dos alunos.</t>
  </si>
  <si>
    <t>Interface moderna e fluida que se distancie de Sistemas de Aprendizagem (LMS) engessados.</t>
  </si>
  <si>
    <t>Frustração com plataformas ultrapassadas, como o Moodle, que tornam a experiência de aprender e ensinar burocrática e chata.</t>
  </si>
  <si>
    <t>AB</t>
  </si>
  <si>
    <t>Muitas plataformas com ideias similiares ao Pathly acabam tendo abandono de usuários por ter uma interface "datada" e engessada, com pouca fluídez.</t>
  </si>
  <si>
    <t>Comunicação clara sobre os planos de ensino pagos disponibilizados</t>
  </si>
  <si>
    <t>Ser o mais claro possível em relação a como funciona os planos de ensino pagos e sobre possíveis testes gratuitos disponibilizados, principais queixa dos clientes é sobre testes gratuitos mentirosos</t>
  </si>
  <si>
    <t>AC</t>
  </si>
  <si>
    <t>Quando o usuário descobre no meio de uma trilha que o próximo módulo é pago, a sensação é de trapaça e isso destrói a confiança na plataforma. A transparência radical no modelo freemium (o que é gratuito, o que é pago, o que acontece no teste gratuito) não é apenas boa prática; é a base de credibilidade para converter usuários em pagantes sem fricção ou ressentimento.</t>
  </si>
  <si>
    <t>B (Victor Gabriel)</t>
  </si>
  <si>
    <t>C (Victor Blum)</t>
  </si>
  <si>
    <t>D (João)</t>
  </si>
  <si>
    <t>E (Lucas)</t>
  </si>
  <si>
    <t>Partiu?</t>
  </si>
  <si>
    <r>
      <rPr>
        <rFont val="Arial"/>
        <b/>
        <color theme="1"/>
        <sz val="9.0"/>
      </rPr>
      <t xml:space="preserve">Dados ou
Suposição
</t>
    </r>
    <r>
      <rPr>
        <rFont val="Arial"/>
        <b/>
        <color rgb="FF990000"/>
        <sz val="9.0"/>
      </rPr>
      <t xml:space="preserve"> (D ou S) 
</t>
    </r>
    <r>
      <rPr>
        <rFont val="Arial"/>
        <b/>
        <color theme="1"/>
        <sz val="9.0"/>
      </rPr>
      <t xml:space="preserve">Conversa, Pesquisa ou Mapa
</t>
    </r>
    <r>
      <rPr>
        <rFont val="Arial"/>
        <b/>
        <color rgb="FF990000"/>
        <sz val="9.0"/>
      </rPr>
      <t xml:space="preserve"> (C, P ou M)</t>
    </r>
  </si>
  <si>
    <r>
      <rPr>
        <rFont val="Arial"/>
        <b/>
        <color theme="1"/>
      </rPr>
      <t xml:space="preserve">Peso (1 - 4)
4 = Urgente!
</t>
    </r>
    <r>
      <rPr>
        <rFont val="Arial"/>
        <b/>
        <color rgb="FF990000"/>
      </rPr>
      <t>(POV) do Membro</t>
    </r>
  </si>
  <si>
    <r>
      <rPr>
        <rFont val="Arial"/>
        <b/>
        <color theme="1"/>
      </rPr>
      <t xml:space="preserve">Votação Membros ABC... 
(Votos 1/3+1 para F&gt;=3)
</t>
    </r>
    <r>
      <rPr>
        <rFont val="Arial"/>
        <b/>
        <color rgb="FF990000"/>
      </rPr>
      <t>Ponto de Vista
(POV) da EQUIPE</t>
    </r>
  </si>
  <si>
    <r>
      <rPr>
        <rFont val="Arial"/>
        <b/>
        <color theme="1"/>
      </rPr>
      <t xml:space="preserve">Dots 
(dot voting) 
</t>
    </r>
    <r>
      <rPr>
        <rFont val="Arial"/>
        <b/>
        <color rgb="FF990000"/>
      </rPr>
      <t>Demandas</t>
    </r>
  </si>
  <si>
    <r>
      <rPr>
        <rFont val="Arial"/>
        <b/>
        <color theme="1"/>
      </rPr>
      <t xml:space="preserve">Votação Membros ABC... 
(Votos 1/3+1 do total de A)
</t>
    </r>
    <r>
      <rPr>
        <rFont val="Arial"/>
        <b/>
        <color rgb="FF990000"/>
      </rPr>
      <t>(DT-DEFINIR)
 POV do CLIENTE</t>
    </r>
  </si>
  <si>
    <r>
      <rPr>
        <rFont val="Arial"/>
        <b/>
        <color theme="1"/>
      </rPr>
      <t xml:space="preserve">Dots 
(dot voting)
</t>
    </r>
    <r>
      <rPr>
        <rFont val="Arial"/>
        <b/>
        <color rgb="FF990000"/>
      </rPr>
      <t xml:space="preserve"> Insigths</t>
    </r>
  </si>
  <si>
    <r>
      <rPr>
        <rFont val="Arial"/>
        <b/>
        <color theme="1"/>
      </rPr>
      <t xml:space="preserve">Justificativas/Visão forte sobre a descoberta
</t>
    </r>
    <r>
      <rPr>
        <rFont val="Arial"/>
        <b/>
        <color rgb="FF990000"/>
      </rPr>
      <t>Somente para K=SIM</t>
    </r>
  </si>
  <si>
    <r>
      <rPr>
        <rFont val="Arial"/>
        <b/>
        <color rgb="FF38761D"/>
      </rPr>
      <t>SIM</t>
    </r>
    <r>
      <rPr>
        <rFont val="Arial"/>
        <b/>
        <color theme="1"/>
      </rPr>
      <t>/</t>
    </r>
    <r>
      <rPr>
        <rFont val="Arial"/>
        <b/>
        <color rgb="FF990000"/>
      </rPr>
      <t>NÃO</t>
    </r>
  </si>
  <si>
    <t>Planejamento rápido e sem esforço</t>
  </si>
  <si>
    <t>Falta de tempo para dedicar ao mestrado e trabalho</t>
  </si>
  <si>
    <t>Vinícius</t>
  </si>
  <si>
    <t xml:space="preserve">os usuários gostariam de planejar com ótima qualidade, mas querem agilizar, por isso é preciso criar uma forma de facilitar o planejamento com maior facilidade e rapidez. </t>
  </si>
  <si>
    <t>Ferramenta para filtragem de acessibilidade</t>
  </si>
  <si>
    <t xml:space="preserve">Falta de conhecimento dos locais de destino e suas estruturas </t>
  </si>
  <si>
    <t xml:space="preserve">Leticia </t>
  </si>
  <si>
    <t>ABCD</t>
  </si>
  <si>
    <t>BDA</t>
  </si>
  <si>
    <t>Será utilizado de filtros e notificações para tratar a centralização das necessidades do cliente no planejamento da viagem. Se notou que uma grande dor é precisar "migrar" de aplicativo em aplicativo para ir planejando cada detalhe da viagem, e nossa intenção é integrar para falicitar o processo.</t>
  </si>
  <si>
    <t>Curadoria confiável e assertiva de destinos</t>
  </si>
  <si>
    <t>Medo de cair em "pegadinhas turísticas" ou escolher hotéis ruins</t>
  </si>
  <si>
    <t>Fernanda</t>
  </si>
  <si>
    <t>Centraliazção de informações para planejamento</t>
  </si>
  <si>
    <t xml:space="preserve">Necessidade de abrir várias telas para poder planjear a viagem </t>
  </si>
  <si>
    <t>ABD</t>
  </si>
  <si>
    <t xml:space="preserve">Opção de inclusão de seguro saúde no pacote  </t>
  </si>
  <si>
    <t xml:space="preserve">Ficar doente e não ter suporte de sáude </t>
  </si>
  <si>
    <t>Acesso fácil a informações offline durante a viagem</t>
  </si>
  <si>
    <t>Problemas de logística e falta de suporte em tempo real no destino</t>
  </si>
  <si>
    <t xml:space="preserve">Opções de viagens curtas </t>
  </si>
  <si>
    <t xml:space="preserve">Viagens de bate-volta para conhecer os lugares durante as folgas </t>
  </si>
  <si>
    <t xml:space="preserve">Vinicius </t>
  </si>
  <si>
    <t>Confirmação e notificação de atualizações de reservas das viagem</t>
  </si>
  <si>
    <t xml:space="preserve">Cancelamento de reserva sem aviso </t>
  </si>
  <si>
    <t xml:space="preserve">Facilitadores no recurso de cancelamento da viagem </t>
  </si>
  <si>
    <t xml:space="preserve">Imprevisto que não foi possivel executar a viagem </t>
  </si>
  <si>
    <t>Gestão de controle e retorno enquanto à feedbacks na plataforma</t>
  </si>
  <si>
    <t xml:space="preserve">Falta de controle e acompanhamento dos feedbacks na plataforma </t>
  </si>
  <si>
    <t>Letícia</t>
  </si>
  <si>
    <t>Roteiros personalizados com base no perfil</t>
  </si>
  <si>
    <t>Receio de que as promoções gerem dúvidas em vez de soluções</t>
  </si>
  <si>
    <t>Controle financeiro e previsibilidade</t>
  </si>
  <si>
    <t>Pressão financeira (salário meio período + custos diários e dos estudos)</t>
  </si>
  <si>
    <t>Aproveitar melhor pouco tempo livre</t>
  </si>
  <si>
    <t>Transparência total de custos e comparativo real</t>
  </si>
  <si>
    <t>Insegurança ao tomar decisões sem dados claros de custo-benefício</t>
  </si>
  <si>
    <t xml:space="preserve">Os usuários apresentam ainda o medo de "perder" oportunidades, com isso, a ideia é apresentar algumas opções para a necessidade apresentada por ele, com valores, locais e horarios. </t>
  </si>
  <si>
    <t>Ferramenta única para centralizar todo o planejamento</t>
  </si>
  <si>
    <t>Frustração com a falta de integração entre voo, hotel e roteiro</t>
  </si>
  <si>
    <t>Sugestões inteligentes baseadas no contexto atual</t>
  </si>
  <si>
    <t>Planejamento demorado, cansativo e excesso de informação</t>
  </si>
  <si>
    <t>BD</t>
  </si>
  <si>
    <t>Implementaremos sugestões de viagens para o cliente que possui a necessidade mas não sabe como e para onde ir</t>
  </si>
  <si>
    <t>Modo de sugestão de viagem</t>
  </si>
  <si>
    <t xml:space="preserve">Falta de conhecimento de destino </t>
  </si>
  <si>
    <t xml:space="preserve">Opção de viagens que sugiram eventos de áreas especificas de conhecimento </t>
  </si>
  <si>
    <t>Procura por viagens com bom roteiro com foco em eventos academicos</t>
  </si>
  <si>
    <t>Otimização de tempo e dinheiro em cada etapa</t>
  </si>
  <si>
    <t>Sensação de ineficiência no processo de reserva atual</t>
  </si>
  <si>
    <t xml:space="preserve">Retorno personalizados com base no perfil do cliente </t>
  </si>
  <si>
    <t>Falta de tempo para planejamento detalhado de roteiro</t>
  </si>
  <si>
    <t>VOTOS MAX=</t>
  </si>
  <si>
    <t>VOTOS MAX=3</t>
  </si>
  <si>
    <t>B (Fernanda)</t>
  </si>
  <si>
    <t>C (Vinicius)</t>
  </si>
  <si>
    <t>D (Letícia)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</si>
</sst>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u/>
      <sz val="16.0"/>
      <color rgb="FF0000FF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b/>
      <color rgb="FF99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Arial"/>
      <scheme val="minor"/>
    </font>
    <font>
      <color rgb="FF000000"/>
      <name val="&quot;Arial&quot;"/>
    </font>
    <font>
      <color rgb="FF000000"/>
      <name val="Arial"/>
      <scheme val="minor"/>
    </font>
    <font>
      <sz val="9.0"/>
      <color theme="1"/>
      <name val="Arial"/>
      <scheme val="minor"/>
    </font>
    <font>
      <sz val="10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E1AD"/>
        <bgColor rgb="FFEBE1AD"/>
      </patternFill>
    </fill>
    <fill>
      <patternFill patternType="solid">
        <fgColor rgb="FFADE2EB"/>
        <bgColor rgb="FFADE2EB"/>
      </patternFill>
    </fill>
    <fill>
      <patternFill patternType="solid">
        <fgColor rgb="FFC0EBAD"/>
        <bgColor rgb="FFC0EBAD"/>
      </patternFill>
    </fill>
    <fill>
      <patternFill patternType="solid">
        <fgColor rgb="FFADAEEB"/>
        <bgColor rgb="FFADAEEB"/>
      </patternFill>
    </fill>
    <fill>
      <patternFill patternType="solid">
        <fgColor rgb="FFADEBCF"/>
        <bgColor rgb="FFADEBCF"/>
      </patternFill>
    </fill>
    <fill>
      <patternFill patternType="solid">
        <fgColor rgb="FFE0ADEB"/>
        <bgColor rgb="FFE0ADEB"/>
      </patternFill>
    </fill>
    <fill>
      <patternFill patternType="solid">
        <fgColor rgb="FFE3EBAD"/>
        <bgColor rgb="FFE3EBAD"/>
      </patternFill>
    </fill>
    <fill>
      <patternFill patternType="solid">
        <fgColor rgb="FFADD2EB"/>
        <bgColor rgb="FFADD2EB"/>
      </patternFill>
    </fill>
    <fill>
      <patternFill patternType="solid">
        <fgColor rgb="FFEBADC1"/>
        <bgColor rgb="FFEBADC1"/>
      </patternFill>
    </fill>
    <fill>
      <patternFill patternType="solid">
        <fgColor rgb="FFADEBBF"/>
        <bgColor rgb="FFADEBBF"/>
      </patternFill>
    </fill>
    <fill>
      <patternFill patternType="solid">
        <fgColor rgb="FFD0ADEB"/>
        <bgColor rgb="FFD0ADEB"/>
      </patternFill>
    </fill>
    <fill>
      <patternFill patternType="solid">
        <fgColor rgb="FFEBADD1"/>
        <bgColor rgb="FFEBADD1"/>
      </patternFill>
    </fill>
    <fill>
      <patternFill patternType="solid">
        <fgColor rgb="FFEBBEAD"/>
        <bgColor rgb="FFEBBEAD"/>
      </patternFill>
    </fill>
    <fill>
      <patternFill patternType="solid">
        <fgColor rgb="FFD9E7FF"/>
        <bgColor rgb="FFD9E7FF"/>
      </patternFill>
    </fill>
  </fills>
  <borders count="9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double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vertical="center"/>
    </xf>
    <xf borderId="0" fillId="4" fontId="7" numFmtId="0" xfId="0" applyAlignment="1" applyFont="1">
      <alignment readingOrder="0" shrinkToFit="0" vertical="center" wrapText="1"/>
    </xf>
    <xf borderId="0" fillId="4" fontId="7" numFmtId="0" xfId="0" applyAlignment="1" applyFont="1">
      <alignment horizontal="center" readingOrder="0"/>
    </xf>
    <xf borderId="0" fillId="4" fontId="7" numFmtId="0" xfId="0" applyAlignment="1" applyFont="1">
      <alignment horizontal="center"/>
    </xf>
    <xf borderId="0" fillId="4" fontId="7" numFmtId="0" xfId="0" applyAlignment="1" applyFont="1">
      <alignment horizontal="center" vertical="center"/>
    </xf>
    <xf borderId="0" fillId="4" fontId="7" numFmtId="0" xfId="0" applyFont="1"/>
    <xf borderId="0" fillId="5" fontId="7" numFmtId="0" xfId="0" applyAlignment="1" applyFill="1" applyFont="1">
      <alignment horizontal="center" readingOrder="0" vertical="center"/>
    </xf>
    <xf borderId="0" fillId="5" fontId="7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horizontal="center"/>
    </xf>
    <xf borderId="0" fillId="5" fontId="7" numFmtId="0" xfId="0" applyAlignment="1" applyFont="1">
      <alignment horizontal="center" vertical="center"/>
    </xf>
    <xf borderId="0" fillId="5" fontId="7" numFmtId="0" xfId="0" applyFont="1"/>
    <xf borderId="0" fillId="6" fontId="7" numFmtId="0" xfId="0" applyAlignment="1" applyFill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wrapText="1"/>
    </xf>
    <xf borderId="0" fillId="6" fontId="7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/>
    </xf>
    <xf borderId="0" fillId="6" fontId="7" numFmtId="0" xfId="0" applyAlignment="1" applyFont="1">
      <alignment horizontal="center" vertical="center"/>
    </xf>
    <xf borderId="0" fillId="6" fontId="7" numFmtId="0" xfId="0" applyAlignment="1" applyFont="1">
      <alignment horizontal="left" readingOrder="0" shrinkToFit="0" vertical="center" wrapText="1"/>
    </xf>
    <xf borderId="0" fillId="6" fontId="7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/>
    </xf>
    <xf borderId="0" fillId="4" fontId="7" numFmtId="0" xfId="0" applyAlignment="1" applyFont="1">
      <alignment readingOrder="0" shrinkToFit="0" wrapText="1"/>
    </xf>
    <xf borderId="0" fillId="7" fontId="7" numFmtId="0" xfId="0" applyAlignment="1" applyFill="1" applyFont="1">
      <alignment horizontal="center" readingOrder="0" vertical="center"/>
    </xf>
    <xf borderId="0" fillId="7" fontId="7" numFmtId="0" xfId="0" applyAlignment="1" applyFont="1">
      <alignment readingOrder="0" shrinkToFit="0" wrapText="1"/>
    </xf>
    <xf borderId="0" fillId="7" fontId="7" numFmtId="0" xfId="0" applyAlignment="1" applyFont="1">
      <alignment horizontal="center" readingOrder="0"/>
    </xf>
    <xf borderId="0" fillId="7" fontId="7" numFmtId="0" xfId="0" applyAlignment="1" applyFont="1">
      <alignment horizontal="center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 vertical="center"/>
    </xf>
    <xf borderId="0" fillId="8" fontId="7" numFmtId="0" xfId="0" applyAlignment="1" applyFont="1">
      <alignment readingOrder="0" shrinkToFit="0" wrapText="1"/>
    </xf>
    <xf borderId="0" fillId="8" fontId="7" numFmtId="0" xfId="0" applyAlignment="1" applyFont="1">
      <alignment horizontal="center" readingOrder="0"/>
    </xf>
    <xf borderId="0" fillId="8" fontId="7" numFmtId="0" xfId="0" applyAlignment="1" applyFont="1">
      <alignment horizontal="center"/>
    </xf>
    <xf borderId="0" fillId="8" fontId="7" numFmtId="0" xfId="0" applyAlignment="1" applyFont="1">
      <alignment horizontal="center" vertical="center"/>
    </xf>
    <xf borderId="0" fillId="8" fontId="7" numFmtId="0" xfId="0" applyAlignment="1" applyFont="1">
      <alignment readingOrder="0"/>
    </xf>
    <xf borderId="0" fillId="4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shrinkToFit="0" wrapText="1"/>
    </xf>
    <xf borderId="0" fillId="9" fontId="7" numFmtId="0" xfId="0" applyAlignment="1" applyFill="1" applyFont="1">
      <alignment horizontal="center" readingOrder="0" vertical="center"/>
    </xf>
    <xf borderId="0" fillId="9" fontId="7" numFmtId="0" xfId="0" applyAlignment="1" applyFont="1">
      <alignment readingOrder="0" shrinkToFit="0" wrapText="1"/>
    </xf>
    <xf borderId="0" fillId="9" fontId="7" numFmtId="0" xfId="0" applyAlignment="1" applyFont="1">
      <alignment horizontal="center" readingOrder="0"/>
    </xf>
    <xf borderId="0" fillId="9" fontId="7" numFmtId="0" xfId="0" applyAlignment="1" applyFont="1">
      <alignment horizontal="center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horizontal="left" readingOrder="0" vertical="center"/>
    </xf>
    <xf borderId="0" fillId="10" fontId="7" numFmtId="0" xfId="0" applyAlignment="1" applyFill="1" applyFont="1">
      <alignment horizontal="center" readingOrder="0" vertical="center"/>
    </xf>
    <xf borderId="0" fillId="10" fontId="7" numFmtId="0" xfId="0" applyAlignment="1" applyFont="1">
      <alignment readingOrder="0" shrinkToFit="0" wrapText="1"/>
    </xf>
    <xf borderId="0" fillId="10" fontId="7" numFmtId="0" xfId="0" applyAlignment="1" applyFont="1">
      <alignment horizontal="center" readingOrder="0"/>
    </xf>
    <xf borderId="0" fillId="10" fontId="7" numFmtId="0" xfId="0" applyAlignment="1" applyFont="1">
      <alignment horizontal="center"/>
    </xf>
    <xf borderId="0" fillId="10" fontId="7" numFmtId="0" xfId="0" applyAlignment="1" applyFont="1">
      <alignment horizontal="center" vertical="center"/>
    </xf>
    <xf borderId="0" fillId="10" fontId="7" numFmtId="0" xfId="0" applyFont="1"/>
    <xf borderId="0" fillId="4" fontId="7" numFmtId="0" xfId="0" applyFont="1"/>
    <xf borderId="0" fillId="11" fontId="7" numFmtId="0" xfId="0" applyAlignment="1" applyFill="1" applyFont="1">
      <alignment horizontal="center" readingOrder="0" vertical="center"/>
    </xf>
    <xf borderId="0" fillId="11" fontId="7" numFmtId="0" xfId="0" applyAlignment="1" applyFont="1">
      <alignment readingOrder="0" shrinkToFit="0" wrapText="1"/>
    </xf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center"/>
    </xf>
    <xf borderId="0" fillId="11" fontId="7" numFmtId="0" xfId="0" applyAlignment="1" applyFont="1">
      <alignment horizontal="center" vertical="center"/>
    </xf>
    <xf borderId="0" fillId="11" fontId="7" numFmtId="0" xfId="0" applyAlignment="1" applyFont="1">
      <alignment horizontal="center" readingOrder="0" shrinkToFit="0" wrapText="1"/>
    </xf>
    <xf borderId="0" fillId="12" fontId="7" numFmtId="0" xfId="0" applyAlignment="1" applyFill="1" applyFont="1">
      <alignment horizontal="center" readingOrder="0" vertical="center"/>
    </xf>
    <xf borderId="0" fillId="12" fontId="7" numFmtId="0" xfId="0" applyAlignment="1" applyFont="1">
      <alignment readingOrder="0" shrinkToFit="0" wrapText="1"/>
    </xf>
    <xf borderId="0" fillId="12" fontId="7" numFmtId="0" xfId="0" applyAlignment="1" applyFont="1">
      <alignment horizontal="center" readingOrder="0"/>
    </xf>
    <xf borderId="0" fillId="12" fontId="7" numFmtId="0" xfId="0" applyAlignment="1" applyFont="1">
      <alignment horizontal="center"/>
    </xf>
    <xf borderId="0" fillId="12" fontId="7" numFmtId="0" xfId="0" applyAlignment="1" applyFont="1">
      <alignment horizontal="center" vertical="center"/>
    </xf>
    <xf borderId="0" fillId="12" fontId="7" numFmtId="0" xfId="0" applyFont="1"/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ont="1">
      <alignment readingOrder="0" shrinkToFit="0" wrapText="1"/>
    </xf>
    <xf borderId="0" fillId="13" fontId="7" numFmtId="0" xfId="0" applyAlignment="1" applyFont="1">
      <alignment horizontal="center" readingOrder="0"/>
    </xf>
    <xf borderId="0" fillId="13" fontId="7" numFmtId="0" xfId="0" applyAlignment="1" applyFont="1">
      <alignment horizontal="center"/>
    </xf>
    <xf borderId="0" fillId="13" fontId="7" numFmtId="0" xfId="0" applyAlignment="1" applyFont="1">
      <alignment horizontal="center" vertical="center"/>
    </xf>
    <xf borderId="0" fillId="13" fontId="7" numFmtId="0" xfId="0" applyFont="1"/>
    <xf borderId="0" fillId="4" fontId="7" numFmtId="0" xfId="0" applyAlignment="1" applyFont="1">
      <alignment shrinkToFit="0" wrapText="1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left" readingOrder="0" shrinkToFit="0" vertical="center" wrapText="1"/>
    </xf>
    <xf borderId="1" fillId="4" fontId="8" numFmtId="0" xfId="0" applyAlignment="1" applyBorder="1" applyFont="1">
      <alignment horizontal="center" shrinkToFit="0" wrapText="1"/>
    </xf>
    <xf borderId="2" fillId="4" fontId="9" numFmtId="0" xfId="0" applyAlignment="1" applyBorder="1" applyFont="1">
      <alignment horizontal="center"/>
    </xf>
    <xf borderId="0" fillId="4" fontId="7" numFmtId="0" xfId="0" applyAlignment="1" applyFont="1">
      <alignment horizontal="center" shrinkToFit="0" vertical="center" wrapText="1"/>
    </xf>
    <xf borderId="0" fillId="4" fontId="0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left" shrinkToFit="0" vertical="center" wrapText="1"/>
    </xf>
    <xf borderId="3" fillId="4" fontId="8" numFmtId="0" xfId="0" applyAlignment="1" applyBorder="1" applyFon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5" fillId="4" fontId="9" numFmtId="0" xfId="0" applyAlignment="1" applyBorder="1" applyFont="1">
      <alignment horizontal="center" shrinkToFit="0" wrapText="1"/>
    </xf>
    <xf borderId="6" fillId="4" fontId="8" numFmtId="0" xfId="0" applyAlignment="1" applyBorder="1" applyFont="1">
      <alignment horizontal="center" shrinkToFit="0" wrapText="1"/>
    </xf>
    <xf borderId="5" fillId="4" fontId="9" numFmtId="0" xfId="0" applyAlignment="1" applyBorder="1" applyFont="1">
      <alignment horizontal="center" readingOrder="0" shrinkToFit="0" wrapText="1"/>
    </xf>
    <xf borderId="6" fillId="4" fontId="8" numFmtId="164" xfId="0" applyAlignment="1" applyBorder="1" applyFont="1" applyNumberFormat="1">
      <alignment horizontal="center" shrinkToFit="0" wrapText="1"/>
    </xf>
    <xf borderId="7" fillId="4" fontId="9" numFmtId="0" xfId="0" applyAlignment="1" applyBorder="1" applyFont="1">
      <alignment horizontal="center" shrinkToFit="0" wrapText="1"/>
    </xf>
    <xf borderId="8" fillId="4" fontId="8" numFmtId="164" xfId="0" applyAlignment="1" applyBorder="1" applyFont="1" applyNumberFormat="1">
      <alignment horizontal="center" readingOrder="0" shrinkToFit="0" wrapText="1"/>
    </xf>
    <xf borderId="0" fillId="4" fontId="11" numFmtId="0" xfId="0" applyAlignment="1" applyFont="1">
      <alignment horizontal="center" readingOrder="0"/>
    </xf>
    <xf borderId="0" fillId="3" fontId="3" numFmtId="0" xfId="0" applyAlignment="1" applyFont="1">
      <alignment horizontal="left" readingOrder="0" shrinkToFit="0" vertical="center" wrapText="1"/>
    </xf>
    <xf borderId="0" fillId="14" fontId="7" numFmtId="0" xfId="0" applyAlignment="1" applyFill="1" applyFont="1">
      <alignment horizontal="center" readingOrder="0" vertical="center"/>
    </xf>
    <xf borderId="0" fillId="14" fontId="7" numFmtId="0" xfId="0" applyAlignment="1" applyFont="1">
      <alignment horizontal="left" readingOrder="0" shrinkToFit="0" vertical="center" wrapText="1"/>
    </xf>
    <xf borderId="0" fillId="14" fontId="7" numFmtId="0" xfId="0" applyAlignment="1" applyFont="1">
      <alignment readingOrder="0" shrinkToFit="0" vertical="center" wrapText="1"/>
    </xf>
    <xf borderId="0" fillId="14" fontId="7" numFmtId="0" xfId="0" applyAlignment="1" applyFont="1">
      <alignment horizontal="center" readingOrder="0" shrinkToFit="0" vertical="center" wrapText="1"/>
    </xf>
    <xf borderId="0" fillId="14" fontId="7" numFmtId="0" xfId="0" applyAlignment="1" applyFont="1">
      <alignment horizontal="center" readingOrder="0"/>
    </xf>
    <xf borderId="0" fillId="14" fontId="7" numFmtId="0" xfId="0" applyAlignment="1" applyFont="1">
      <alignment readingOrder="0"/>
    </xf>
    <xf borderId="0" fillId="15" fontId="7" numFmtId="0" xfId="0" applyAlignment="1" applyFill="1" applyFont="1">
      <alignment horizontal="center" readingOrder="0" vertical="center"/>
    </xf>
    <xf borderId="0" fillId="15" fontId="7" numFmtId="0" xfId="0" applyAlignment="1" applyFont="1">
      <alignment horizontal="left" readingOrder="0" shrinkToFit="0" vertical="center" wrapText="1"/>
    </xf>
    <xf borderId="0" fillId="15" fontId="7" numFmtId="0" xfId="0" applyAlignment="1" applyFont="1">
      <alignment readingOrder="0" shrinkToFit="0" vertical="center" wrapText="1"/>
    </xf>
    <xf borderId="0" fillId="15" fontId="7" numFmtId="0" xfId="0" applyAlignment="1" applyFont="1">
      <alignment horizontal="center" readingOrder="0" shrinkToFit="0" vertical="center" wrapText="1"/>
    </xf>
    <xf borderId="0" fillId="15" fontId="7" numFmtId="0" xfId="0" applyAlignment="1" applyFont="1">
      <alignment horizontal="center" readingOrder="0"/>
    </xf>
    <xf borderId="0" fillId="15" fontId="7" numFmtId="0" xfId="0" applyFont="1"/>
    <xf borderId="0" fillId="5" fontId="7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readingOrder="0" shrinkToFit="0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Font="1"/>
    <xf borderId="0" fillId="16" fontId="7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left" readingOrder="0" shrinkToFit="0" vertical="center" wrapText="1"/>
    </xf>
    <xf borderId="0" fillId="16" fontId="7" numFmtId="0" xfId="0" applyAlignment="1" applyFont="1">
      <alignment readingOrder="0" shrinkToFit="0" vertical="center" wrapText="1"/>
    </xf>
    <xf borderId="0" fillId="16" fontId="7" numFmtId="0" xfId="0" applyAlignment="1" applyFont="1">
      <alignment horizontal="center" readingOrder="0" shrinkToFit="0" vertical="center" wrapText="1"/>
    </xf>
    <xf borderId="0" fillId="16" fontId="7" numFmtId="0" xfId="0" applyAlignment="1" applyFont="1">
      <alignment horizontal="center" readingOrder="0"/>
    </xf>
    <xf borderId="0" fillId="16" fontId="7" numFmtId="0" xfId="0" applyAlignment="1" applyFont="1">
      <alignment horizontal="center" vertical="center"/>
    </xf>
    <xf borderId="0" fillId="16" fontId="7" numFmtId="0" xfId="0" applyFont="1"/>
    <xf borderId="0" fillId="8" fontId="7" numFmtId="0" xfId="0" applyAlignment="1" applyFont="1">
      <alignment horizontal="left"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7" numFmtId="0" xfId="0" applyFont="1"/>
    <xf borderId="0" fillId="17" fontId="7" numFmtId="0" xfId="0" applyAlignment="1" applyFill="1" applyFont="1">
      <alignment horizontal="center" readingOrder="0" vertical="center"/>
    </xf>
    <xf borderId="0" fillId="17" fontId="7" numFmtId="0" xfId="0" applyAlignment="1" applyFont="1">
      <alignment horizontal="left" readingOrder="0" shrinkToFit="0" vertical="center" wrapText="1"/>
    </xf>
    <xf borderId="0" fillId="17" fontId="7" numFmtId="0" xfId="0" applyAlignment="1" applyFont="1">
      <alignment readingOrder="0" shrinkToFit="0" vertical="center" wrapText="1"/>
    </xf>
    <xf borderId="0" fillId="17" fontId="7" numFmtId="0" xfId="0" applyAlignment="1" applyFont="1">
      <alignment horizontal="center" readingOrder="0" shrinkToFit="0" vertical="center" wrapText="1"/>
    </xf>
    <xf borderId="0" fillId="17" fontId="7" numFmtId="0" xfId="0" applyAlignment="1" applyFont="1">
      <alignment horizontal="center" readingOrder="0"/>
    </xf>
    <xf borderId="0" fillId="17" fontId="7" numFmtId="0" xfId="0" applyAlignment="1" applyFont="1">
      <alignment readingOrder="0"/>
    </xf>
    <xf borderId="0" fillId="9" fontId="7" numFmtId="0" xfId="0" applyAlignment="1" applyFont="1">
      <alignment horizontal="left" readingOrder="0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9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readingOrder="0" shrinkToFit="0" vertical="center" wrapText="1"/>
    </xf>
    <xf borderId="6" fillId="4" fontId="8" numFmtId="164" xfId="0" applyAlignment="1" applyBorder="1" applyFont="1" applyNumberForma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8" fillId="4" fontId="8" numFmtId="164" xfId="0" applyAlignment="1" applyBorder="1" applyFont="1" applyNumberFormat="1">
      <alignment horizontal="center" readingOrder="0" shrinkToFit="0" vertical="center" wrapText="1"/>
    </xf>
    <xf borderId="0" fillId="14" fontId="12" numFmtId="0" xfId="0" applyAlignment="1" applyFont="1">
      <alignment readingOrder="0" shrinkToFit="0" vertical="center" wrapText="1"/>
    </xf>
    <xf borderId="0" fillId="14" fontId="7" numFmtId="0" xfId="0" applyAlignment="1" applyFont="1">
      <alignment horizontal="center" shrinkToFit="0" vertical="center" wrapText="1"/>
    </xf>
    <xf borderId="0" fillId="14" fontId="7" numFmtId="0" xfId="0" applyAlignment="1" applyFont="1">
      <alignment horizontal="center" vertical="center"/>
    </xf>
    <xf borderId="0" fillId="14" fontId="13" numFmtId="0" xfId="0" applyAlignment="1" applyFont="1">
      <alignment readingOrder="0" shrinkToFit="0" vertical="center" wrapText="1"/>
    </xf>
    <xf borderId="0" fillId="15" fontId="0" numFmtId="0" xfId="0" applyAlignment="1" applyFont="1">
      <alignment readingOrder="0" shrinkToFit="0" vertical="center" wrapText="1"/>
    </xf>
    <xf borderId="0" fillId="15" fontId="7" numFmtId="0" xfId="0" applyAlignment="1" applyFont="1">
      <alignment horizontal="center" shrinkToFit="0" vertical="center" wrapText="1"/>
    </xf>
    <xf borderId="0" fillId="15" fontId="7" numFmtId="0" xfId="0" applyAlignment="1" applyFont="1">
      <alignment horizontal="center" vertical="center"/>
    </xf>
    <xf borderId="0" fillId="15" fontId="13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16" fontId="7" numFmtId="0" xfId="0" applyAlignment="1" applyFont="1">
      <alignment horizontal="center" shrinkToFit="0" vertical="center" wrapText="1"/>
    </xf>
    <xf borderId="0" fillId="16" fontId="0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borderId="0" fillId="8" fontId="0" numFmtId="0" xfId="0" applyAlignment="1" applyFont="1">
      <alignment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17" fontId="7" numFmtId="0" xfId="0" applyAlignment="1" applyFont="1">
      <alignment horizontal="center" shrinkToFit="0" vertical="center" wrapText="1"/>
    </xf>
    <xf borderId="0" fillId="17" fontId="7" numFmtId="0" xfId="0" applyAlignment="1" applyFont="1">
      <alignment horizontal="center" vertical="center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10" fontId="7" numFmtId="0" xfId="0" applyAlignment="1" applyFont="1">
      <alignment shrinkToFit="0" vertical="center" wrapText="1"/>
    </xf>
    <xf borderId="0" fillId="11" fontId="7" numFmtId="0" xfId="0" applyAlignment="1" applyFont="1">
      <alignment horizontal="center" readingOrder="0" shrinkToFit="0" vertical="center" wrapText="1"/>
    </xf>
    <xf borderId="0" fillId="11" fontId="7" numFmtId="0" xfId="0" applyAlignment="1" applyFont="1">
      <alignment readingOrder="0"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11" fontId="7" numFmtId="0" xfId="0" applyAlignment="1" applyFont="1">
      <alignment shrinkToFit="0" vertical="center" wrapText="1"/>
    </xf>
    <xf borderId="0" fillId="12" fontId="7" numFmtId="0" xfId="0" applyAlignment="1" applyFont="1">
      <alignment horizontal="center" readingOrder="0" shrinkToFit="0" vertical="center" wrapText="1"/>
    </xf>
    <xf borderId="0" fillId="12" fontId="7" numFmtId="0" xfId="0" applyAlignment="1" applyFont="1">
      <alignment readingOrder="0" shrinkToFit="0" vertical="center" wrapText="1"/>
    </xf>
    <xf borderId="0" fillId="12" fontId="7" numFmtId="0" xfId="0" applyAlignment="1" applyFont="1">
      <alignment horizontal="center" shrinkToFit="0" vertical="center" wrapText="1"/>
    </xf>
    <xf borderId="0" fillId="4" fontId="14" numFmtId="0" xfId="0" applyAlignment="1" applyFont="1">
      <alignment readingOrder="0" shrinkToFit="0" vertical="center" wrapText="1"/>
    </xf>
    <xf borderId="0" fillId="4" fontId="0" numFmtId="0" xfId="0" applyAlignment="1" applyFont="1">
      <alignment readingOrder="0" shrinkToFit="0" vertical="center" wrapText="1"/>
    </xf>
    <xf borderId="0" fillId="4" fontId="7" numFmtId="0" xfId="0" applyAlignment="1" applyFont="1">
      <alignment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14" fontId="7" numFmtId="0" xfId="0" applyAlignment="1" applyFont="1">
      <alignment horizontal="center" readingOrder="0" shrinkToFit="0" vertical="center" wrapText="0"/>
    </xf>
    <xf borderId="0" fillId="14" fontId="7" numFmtId="0" xfId="0" applyAlignment="1" applyFont="1">
      <alignment horizontal="center"/>
    </xf>
    <xf borderId="0" fillId="4" fontId="7" numFmtId="0" xfId="0" applyAlignment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16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left" readingOrder="0" shrinkToFit="0" vertical="center" wrapText="1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shrinkToFit="0" wrapText="1"/>
    </xf>
    <xf borderId="0" fillId="17" fontId="7" numFmtId="0" xfId="0" applyAlignment="1" applyFont="1">
      <alignment horizontal="center" readingOrder="0" shrinkToFit="0" vertical="center" wrapText="0"/>
    </xf>
    <xf borderId="0" fillId="17" fontId="0" numFmtId="0" xfId="0" applyAlignment="1" applyFont="1">
      <alignment horizontal="left" readingOrder="0" shrinkToFit="0" vertical="center" wrapText="1"/>
    </xf>
    <xf borderId="0" fillId="17" fontId="7" numFmtId="0" xfId="0" applyAlignment="1" applyFont="1">
      <alignment horizontal="center"/>
    </xf>
    <xf borderId="0" fillId="9" fontId="7" numFmtId="0" xfId="0" applyAlignment="1" applyFont="1">
      <alignment horizontal="center" readingOrder="0" shrinkToFit="0" vertical="center" wrapText="0"/>
    </xf>
    <xf borderId="0" fillId="18" fontId="7" numFmtId="0" xfId="0" applyAlignment="1" applyFill="1" applyFont="1">
      <alignment horizontal="center" readingOrder="0" shrinkToFit="0" vertical="center" wrapText="0"/>
    </xf>
    <xf borderId="0" fillId="18" fontId="7" numFmtId="0" xfId="0" applyAlignment="1" applyFont="1">
      <alignment horizontal="left" readingOrder="0" shrinkToFit="0" vertical="center" wrapText="1"/>
    </xf>
    <xf borderId="0" fillId="18" fontId="7" numFmtId="0" xfId="0" applyAlignment="1" applyFont="1">
      <alignment horizontal="center" readingOrder="0" vertical="center"/>
    </xf>
    <xf borderId="0" fillId="18" fontId="7" numFmtId="0" xfId="0" applyAlignment="1" applyFont="1">
      <alignment horizontal="center" readingOrder="0"/>
    </xf>
    <xf borderId="0" fillId="18" fontId="7" numFmtId="0" xfId="0" applyAlignment="1" applyFont="1">
      <alignment horizontal="center"/>
    </xf>
    <xf borderId="0" fillId="18" fontId="7" numFmtId="0" xfId="0" applyAlignment="1" applyFont="1">
      <alignment horizontal="center" vertical="center"/>
    </xf>
    <xf borderId="0" fillId="18" fontId="7" numFmtId="0" xfId="0" applyAlignment="1" applyFont="1">
      <alignment readingOrder="0" shrinkToFit="0" wrapText="1"/>
    </xf>
    <xf borderId="0" fillId="14" fontId="7" numFmtId="0" xfId="0" applyAlignment="1" applyFont="1">
      <alignment readingOrder="0" shrinkToFit="0" wrapText="1"/>
    </xf>
    <xf borderId="0" fillId="15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7" numFmtId="0" xfId="0" applyFont="1"/>
    <xf borderId="0" fillId="4" fontId="7" numFmtId="0" xfId="0" applyAlignment="1" applyFont="1">
      <alignment readingOrder="0"/>
    </xf>
    <xf borderId="0" fillId="16" fontId="7" numFmtId="0" xfId="0" applyAlignment="1" applyFont="1">
      <alignment readingOrder="0"/>
    </xf>
    <xf borderId="0" fillId="16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b/WxDKWVDr/projetoprincipalads-2026-1-equipe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b/7vWul3wa/projetoprincipalads-2026-1-equipe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b/V14YoCi9/projetoprincipalads-2026-1-equipe3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invite/b/69b4862a6172053d28efd4da/ATTI88faf5acc429b1fa58a57b26d32fe8426029A2A1/projetoprincipalads-2026-1-equipe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b/Ab60ZZDE/projetoprincipalads-2026-1-equipe5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25"/>
    <col customWidth="1" min="2" max="2" width="49.13"/>
    <col customWidth="1" min="3" max="3" width="41.75"/>
    <col customWidth="1" hidden="1" min="4" max="4" width="11.63"/>
    <col customWidth="1" hidden="1" min="5" max="5" width="14.0"/>
    <col customWidth="1" hidden="1" min="6" max="6" width="10.75"/>
    <col customWidth="1" hidden="1" min="7" max="7" width="20.75"/>
    <col customWidth="1" hidden="1" min="8" max="8" width="10.25"/>
    <col customWidth="1" min="9" max="9" width="21.63"/>
    <col customWidth="1" min="10" max="11" width="10.25"/>
    <col customWidth="1" min="12" max="12" width="47.25"/>
  </cols>
  <sheetData>
    <row r="1" ht="37.5" customHeight="1">
      <c r="A1" s="1" t="s">
        <v>0</v>
      </c>
      <c r="B1" s="2" t="s">
        <v>1</v>
      </c>
      <c r="C1" s="3"/>
    </row>
    <row r="2" ht="37.5" customHeight="1"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7" t="s">
        <v>11</v>
      </c>
      <c r="L2" s="5" t="s">
        <v>12</v>
      </c>
    </row>
    <row r="3" ht="25.5" customHeight="1">
      <c r="B3" s="8" t="s">
        <v>13</v>
      </c>
      <c r="C3" s="7" t="s">
        <v>14</v>
      </c>
      <c r="K3" s="5" t="s">
        <v>15</v>
      </c>
    </row>
    <row r="4">
      <c r="A4" s="9">
        <v>1.0</v>
      </c>
      <c r="B4" s="10" t="s">
        <v>16</v>
      </c>
      <c r="C4" s="10" t="s">
        <v>17</v>
      </c>
      <c r="D4" s="11" t="s">
        <v>18</v>
      </c>
      <c r="E4" s="11" t="s">
        <v>19</v>
      </c>
      <c r="F4" s="11">
        <v>2.0</v>
      </c>
      <c r="G4" s="11"/>
      <c r="H4" s="12">
        <f t="shared" ref="H4:H22" si="1">LEN(G4)</f>
        <v>0</v>
      </c>
      <c r="I4" s="13"/>
      <c r="J4" s="13">
        <f t="shared" ref="J4:J7" si="2">LEN(I4)</f>
        <v>0</v>
      </c>
      <c r="K4" s="13"/>
      <c r="L4" s="14"/>
    </row>
    <row r="5">
      <c r="A5" s="9">
        <v>2.0</v>
      </c>
      <c r="B5" s="10" t="s">
        <v>20</v>
      </c>
      <c r="C5" s="10" t="s">
        <v>21</v>
      </c>
      <c r="D5" s="11" t="s">
        <v>18</v>
      </c>
      <c r="E5" s="11" t="s">
        <v>19</v>
      </c>
      <c r="F5" s="11">
        <v>2.0</v>
      </c>
      <c r="G5" s="11"/>
      <c r="H5" s="12">
        <f t="shared" si="1"/>
        <v>0</v>
      </c>
      <c r="I5" s="13"/>
      <c r="J5" s="13">
        <f t="shared" si="2"/>
        <v>0</v>
      </c>
      <c r="K5" s="13"/>
      <c r="L5" s="14"/>
    </row>
    <row r="6">
      <c r="A6" s="15">
        <v>3.0</v>
      </c>
      <c r="B6" s="16" t="s">
        <v>22</v>
      </c>
      <c r="C6" s="16" t="s">
        <v>23</v>
      </c>
      <c r="D6" s="17" t="s">
        <v>18</v>
      </c>
      <c r="E6" s="17" t="s">
        <v>24</v>
      </c>
      <c r="F6" s="17">
        <v>4.0</v>
      </c>
      <c r="G6" s="17" t="s">
        <v>25</v>
      </c>
      <c r="H6" s="18">
        <f t="shared" si="1"/>
        <v>3</v>
      </c>
      <c r="I6" s="19"/>
      <c r="J6" s="19">
        <f t="shared" si="2"/>
        <v>0</v>
      </c>
      <c r="K6" s="15" t="s">
        <v>26</v>
      </c>
      <c r="L6" s="20"/>
    </row>
    <row r="7" ht="27.0" customHeight="1">
      <c r="A7" s="21">
        <v>4.0</v>
      </c>
      <c r="B7" s="22" t="s">
        <v>27</v>
      </c>
      <c r="C7" s="22" t="s">
        <v>28</v>
      </c>
      <c r="D7" s="23" t="s">
        <v>29</v>
      </c>
      <c r="E7" s="23" t="s">
        <v>30</v>
      </c>
      <c r="F7" s="23">
        <v>4.0</v>
      </c>
      <c r="G7" s="23" t="s">
        <v>31</v>
      </c>
      <c r="H7" s="24">
        <f t="shared" si="1"/>
        <v>1</v>
      </c>
      <c r="I7" s="21" t="s">
        <v>32</v>
      </c>
      <c r="J7" s="25">
        <f t="shared" si="2"/>
        <v>4</v>
      </c>
      <c r="K7" s="21" t="s">
        <v>33</v>
      </c>
      <c r="L7" s="26" t="s">
        <v>34</v>
      </c>
    </row>
    <row r="8" ht="40.5" customHeight="1">
      <c r="A8" s="27">
        <v>4.0</v>
      </c>
      <c r="B8" s="22" t="s">
        <v>35</v>
      </c>
      <c r="C8" s="22" t="s">
        <v>36</v>
      </c>
      <c r="D8" s="28" t="s">
        <v>18</v>
      </c>
      <c r="E8" s="28" t="s">
        <v>37</v>
      </c>
      <c r="F8" s="28">
        <v>3.0</v>
      </c>
      <c r="G8" s="28" t="s">
        <v>38</v>
      </c>
      <c r="H8" s="24">
        <f t="shared" si="1"/>
        <v>2</v>
      </c>
    </row>
    <row r="9" ht="34.5" customHeight="1">
      <c r="A9" s="9">
        <v>4.0</v>
      </c>
      <c r="B9" s="29" t="s">
        <v>39</v>
      </c>
      <c r="C9" s="29" t="s">
        <v>40</v>
      </c>
      <c r="D9" s="11" t="s">
        <v>41</v>
      </c>
      <c r="E9" s="11" t="s">
        <v>19</v>
      </c>
      <c r="F9" s="11">
        <v>2.0</v>
      </c>
      <c r="G9" s="12"/>
      <c r="H9" s="12">
        <f t="shared" si="1"/>
        <v>0</v>
      </c>
    </row>
    <row r="10">
      <c r="A10" s="9">
        <v>5.0</v>
      </c>
      <c r="B10" s="29" t="s">
        <v>42</v>
      </c>
      <c r="C10" s="29" t="s">
        <v>43</v>
      </c>
      <c r="D10" s="11" t="s">
        <v>29</v>
      </c>
      <c r="E10" s="11" t="s">
        <v>44</v>
      </c>
      <c r="F10" s="11">
        <v>1.0</v>
      </c>
      <c r="G10" s="11"/>
      <c r="H10" s="12">
        <f t="shared" si="1"/>
        <v>0</v>
      </c>
      <c r="I10" s="13"/>
      <c r="J10" s="13">
        <f t="shared" ref="J10:J14" si="3">LEN(I10)</f>
        <v>0</v>
      </c>
      <c r="K10" s="13"/>
      <c r="L10" s="14"/>
    </row>
    <row r="11">
      <c r="A11" s="30">
        <v>6.0</v>
      </c>
      <c r="B11" s="31" t="s">
        <v>45</v>
      </c>
      <c r="C11" s="31" t="s">
        <v>46</v>
      </c>
      <c r="D11" s="32" t="s">
        <v>29</v>
      </c>
      <c r="E11" s="32" t="s">
        <v>37</v>
      </c>
      <c r="F11" s="32">
        <v>3.0</v>
      </c>
      <c r="G11" s="32" t="s">
        <v>47</v>
      </c>
      <c r="H11" s="33">
        <f t="shared" si="1"/>
        <v>2</v>
      </c>
      <c r="I11" s="30" t="s">
        <v>48</v>
      </c>
      <c r="J11" s="34">
        <f t="shared" si="3"/>
        <v>2</v>
      </c>
      <c r="K11" s="30" t="s">
        <v>33</v>
      </c>
      <c r="L11" s="35" t="s">
        <v>49</v>
      </c>
    </row>
    <row r="12">
      <c r="A12" s="36">
        <v>7.0</v>
      </c>
      <c r="B12" s="37" t="s">
        <v>50</v>
      </c>
      <c r="C12" s="37" t="s">
        <v>51</v>
      </c>
      <c r="D12" s="38" t="s">
        <v>29</v>
      </c>
      <c r="E12" s="38" t="s">
        <v>19</v>
      </c>
      <c r="F12" s="38">
        <v>3.0</v>
      </c>
      <c r="G12" s="38" t="s">
        <v>52</v>
      </c>
      <c r="H12" s="39">
        <f t="shared" si="1"/>
        <v>1</v>
      </c>
      <c r="I12" s="36" t="s">
        <v>52</v>
      </c>
      <c r="J12" s="40">
        <f t="shared" si="3"/>
        <v>1</v>
      </c>
      <c r="K12" s="36" t="s">
        <v>33</v>
      </c>
      <c r="L12" s="41" t="s">
        <v>53</v>
      </c>
    </row>
    <row r="13" ht="41.25" customHeight="1">
      <c r="A13" s="42">
        <v>8.0</v>
      </c>
      <c r="B13" s="29" t="s">
        <v>54</v>
      </c>
      <c r="C13" s="29" t="s">
        <v>55</v>
      </c>
      <c r="D13" s="43" t="s">
        <v>29</v>
      </c>
      <c r="E13" s="43" t="s">
        <v>19</v>
      </c>
      <c r="F13" s="43">
        <v>2.0</v>
      </c>
      <c r="G13" s="43"/>
      <c r="H13" s="12">
        <f t="shared" si="1"/>
        <v>0</v>
      </c>
      <c r="I13" s="44"/>
      <c r="J13" s="13">
        <f t="shared" si="3"/>
        <v>0</v>
      </c>
      <c r="K13" s="44"/>
      <c r="L13" s="45"/>
    </row>
    <row r="14" ht="32.25" customHeight="1">
      <c r="A14" s="46">
        <v>9.0</v>
      </c>
      <c r="B14" s="47" t="s">
        <v>56</v>
      </c>
      <c r="C14" s="47" t="s">
        <v>57</v>
      </c>
      <c r="D14" s="48" t="s">
        <v>29</v>
      </c>
      <c r="E14" s="48" t="s">
        <v>24</v>
      </c>
      <c r="F14" s="48">
        <v>3.0</v>
      </c>
      <c r="G14" s="48" t="s">
        <v>58</v>
      </c>
      <c r="H14" s="49">
        <f t="shared" si="1"/>
        <v>2</v>
      </c>
      <c r="I14" s="46" t="s">
        <v>59</v>
      </c>
      <c r="J14" s="50">
        <f t="shared" si="3"/>
        <v>3</v>
      </c>
      <c r="K14" s="46" t="s">
        <v>33</v>
      </c>
      <c r="L14" s="51" t="s">
        <v>60</v>
      </c>
    </row>
    <row r="15">
      <c r="A15" s="9">
        <v>9.0</v>
      </c>
      <c r="B15" s="29" t="s">
        <v>61</v>
      </c>
      <c r="C15" s="29" t="s">
        <v>62</v>
      </c>
      <c r="D15" s="11" t="s">
        <v>63</v>
      </c>
      <c r="E15" s="11" t="s">
        <v>44</v>
      </c>
      <c r="F15" s="11">
        <v>2.0</v>
      </c>
      <c r="G15" s="12"/>
      <c r="H15" s="12">
        <f t="shared" si="1"/>
        <v>0</v>
      </c>
    </row>
    <row r="16">
      <c r="A16" s="52">
        <v>10.0</v>
      </c>
      <c r="B16" s="53" t="s">
        <v>64</v>
      </c>
      <c r="C16" s="53" t="s">
        <v>65</v>
      </c>
      <c r="D16" s="54" t="s">
        <v>29</v>
      </c>
      <c r="E16" s="54" t="s">
        <v>37</v>
      </c>
      <c r="F16" s="54">
        <v>3.0</v>
      </c>
      <c r="G16" s="54" t="s">
        <v>66</v>
      </c>
      <c r="H16" s="55">
        <f t="shared" si="1"/>
        <v>2</v>
      </c>
      <c r="I16" s="52" t="s">
        <v>31</v>
      </c>
      <c r="J16" s="56">
        <f>LEN(I16)</f>
        <v>1</v>
      </c>
      <c r="K16" s="52" t="s">
        <v>26</v>
      </c>
      <c r="L16" s="57"/>
    </row>
    <row r="17">
      <c r="A17" s="9">
        <v>10.0</v>
      </c>
      <c r="B17" s="29" t="s">
        <v>67</v>
      </c>
      <c r="C17" s="29" t="s">
        <v>68</v>
      </c>
      <c r="D17" s="11" t="s">
        <v>41</v>
      </c>
      <c r="E17" s="11" t="s">
        <v>19</v>
      </c>
      <c r="F17" s="11">
        <v>1.0</v>
      </c>
      <c r="G17" s="12"/>
      <c r="H17" s="12">
        <f t="shared" si="1"/>
        <v>0</v>
      </c>
      <c r="L17" s="58"/>
    </row>
    <row r="18" ht="15.75" customHeight="1">
      <c r="A18" s="59">
        <v>11.0</v>
      </c>
      <c r="B18" s="60" t="s">
        <v>69</v>
      </c>
      <c r="C18" s="60" t="s">
        <v>70</v>
      </c>
      <c r="D18" s="61" t="s">
        <v>41</v>
      </c>
      <c r="E18" s="61" t="s">
        <v>19</v>
      </c>
      <c r="F18" s="61">
        <v>3.0</v>
      </c>
      <c r="G18" s="61" t="s">
        <v>66</v>
      </c>
      <c r="H18" s="62">
        <f t="shared" si="1"/>
        <v>2</v>
      </c>
      <c r="I18" s="59" t="s">
        <v>59</v>
      </c>
      <c r="J18" s="63">
        <f>LEN(I18)</f>
        <v>3</v>
      </c>
      <c r="K18" s="59" t="s">
        <v>33</v>
      </c>
      <c r="L18" s="64" t="s">
        <v>71</v>
      </c>
    </row>
    <row r="19" ht="39.0" customHeight="1">
      <c r="A19" s="59">
        <v>11.0</v>
      </c>
      <c r="B19" s="60" t="s">
        <v>72</v>
      </c>
      <c r="C19" s="60" t="s">
        <v>73</v>
      </c>
      <c r="D19" s="61" t="s">
        <v>63</v>
      </c>
      <c r="E19" s="61" t="s">
        <v>37</v>
      </c>
      <c r="F19" s="61">
        <v>3.0</v>
      </c>
      <c r="G19" s="61" t="s">
        <v>47</v>
      </c>
      <c r="H19" s="62">
        <f t="shared" si="1"/>
        <v>2</v>
      </c>
    </row>
    <row r="20" ht="50.25" customHeight="1">
      <c r="A20" s="9">
        <v>11.0</v>
      </c>
      <c r="B20" s="29" t="s">
        <v>74</v>
      </c>
      <c r="C20" s="29" t="s">
        <v>75</v>
      </c>
      <c r="D20" s="11" t="s">
        <v>41</v>
      </c>
      <c r="E20" s="11" t="s">
        <v>19</v>
      </c>
      <c r="F20" s="11">
        <v>1.0</v>
      </c>
      <c r="G20" s="12"/>
      <c r="H20" s="12">
        <f t="shared" si="1"/>
        <v>0</v>
      </c>
      <c r="I20" s="13"/>
      <c r="J20" s="13">
        <f t="shared" ref="J20:J22" si="4">LEN(I20)</f>
        <v>0</v>
      </c>
      <c r="K20" s="13"/>
      <c r="L20" s="58"/>
    </row>
    <row r="21" ht="43.5" customHeight="1">
      <c r="A21" s="65">
        <v>12.0</v>
      </c>
      <c r="B21" s="66" t="s">
        <v>76</v>
      </c>
      <c r="C21" s="66" t="s">
        <v>77</v>
      </c>
      <c r="D21" s="67" t="s">
        <v>63</v>
      </c>
      <c r="E21" s="67" t="s">
        <v>24</v>
      </c>
      <c r="F21" s="67">
        <v>4.0</v>
      </c>
      <c r="G21" s="67" t="s">
        <v>52</v>
      </c>
      <c r="H21" s="68">
        <f t="shared" si="1"/>
        <v>1</v>
      </c>
      <c r="I21" s="65" t="s">
        <v>52</v>
      </c>
      <c r="J21" s="69">
        <f t="shared" si="4"/>
        <v>1</v>
      </c>
      <c r="K21" s="65" t="s">
        <v>26</v>
      </c>
      <c r="L21" s="70"/>
    </row>
    <row r="22" ht="41.25" customHeight="1">
      <c r="A22" s="71">
        <v>13.0</v>
      </c>
      <c r="B22" s="72" t="s">
        <v>78</v>
      </c>
      <c r="C22" s="72" t="s">
        <v>79</v>
      </c>
      <c r="D22" s="73" t="s">
        <v>63</v>
      </c>
      <c r="E22" s="73" t="s">
        <v>37</v>
      </c>
      <c r="F22" s="73">
        <v>3.0</v>
      </c>
      <c r="G22" s="73" t="s">
        <v>66</v>
      </c>
      <c r="H22" s="74">
        <f t="shared" si="1"/>
        <v>2</v>
      </c>
      <c r="I22" s="71" t="s">
        <v>80</v>
      </c>
      <c r="J22" s="75">
        <f t="shared" si="4"/>
        <v>1</v>
      </c>
      <c r="K22" s="71" t="s">
        <v>26</v>
      </c>
      <c r="L22" s="76"/>
    </row>
    <row r="23" ht="15.75" customHeight="1">
      <c r="A23" s="13"/>
      <c r="B23" s="77"/>
      <c r="C23" s="77"/>
      <c r="D23" s="12"/>
      <c r="E23" s="12"/>
      <c r="F23" s="12"/>
      <c r="G23" s="12"/>
      <c r="H23" s="12"/>
      <c r="I23" s="13"/>
      <c r="J23" s="13"/>
      <c r="K23" s="13"/>
      <c r="L23" s="58"/>
    </row>
    <row r="24" ht="15.75" customHeight="1">
      <c r="A24" s="13"/>
      <c r="B24" s="77"/>
      <c r="C24" s="77"/>
      <c r="D24" s="12"/>
      <c r="E24" s="12"/>
      <c r="F24" s="12"/>
      <c r="G24" s="12"/>
      <c r="H24" s="12"/>
      <c r="I24" s="13"/>
      <c r="J24" s="13"/>
      <c r="K24" s="13"/>
      <c r="L24" s="58"/>
    </row>
    <row r="25" ht="15.75" customHeight="1">
      <c r="A25" s="13"/>
      <c r="B25" s="77"/>
      <c r="C25" s="77"/>
      <c r="D25" s="12"/>
      <c r="E25" s="12"/>
      <c r="F25" s="12"/>
      <c r="G25" s="12"/>
      <c r="H25" s="12"/>
      <c r="I25" s="13"/>
      <c r="J25" s="13"/>
      <c r="K25" s="13"/>
      <c r="L25" s="58"/>
    </row>
    <row r="26" ht="30.0" customHeight="1">
      <c r="A26" s="78"/>
      <c r="B26" s="79"/>
      <c r="C26" s="80" t="s">
        <v>81</v>
      </c>
      <c r="D26" s="81"/>
      <c r="E26" s="82"/>
      <c r="F26" s="5" t="s">
        <v>82</v>
      </c>
      <c r="G26" s="5" t="s">
        <v>83</v>
      </c>
      <c r="H26" s="78"/>
      <c r="I26" s="5" t="s">
        <v>84</v>
      </c>
      <c r="J26" s="83"/>
      <c r="K26" s="83"/>
      <c r="L26" s="84"/>
    </row>
    <row r="27" ht="30.0" customHeight="1">
      <c r="A27" s="78"/>
      <c r="B27" s="85"/>
      <c r="C27" s="86" t="s">
        <v>85</v>
      </c>
      <c r="D27" s="87" t="s">
        <v>86</v>
      </c>
      <c r="E27" s="82"/>
      <c r="F27" s="42" t="s">
        <v>87</v>
      </c>
      <c r="G27" s="82">
        <f>SUMPRODUCT(LEN($G$4:$G$25)-LEN(SUBSTITUTE($G$4:$G$25,"A","")))</f>
        <v>5</v>
      </c>
      <c r="H27" s="78"/>
      <c r="I27" s="82">
        <f>SUMPRODUCT(LEN($I$4:$I$25)-LEN(SUBSTITUTE($I$4:$I$25,"A","")))</f>
        <v>4</v>
      </c>
      <c r="J27" s="83"/>
      <c r="K27" s="83"/>
      <c r="L27" s="84"/>
    </row>
    <row r="28" ht="30.0" customHeight="1">
      <c r="A28" s="78"/>
      <c r="B28" s="85"/>
      <c r="C28" s="88" t="s">
        <v>24</v>
      </c>
      <c r="D28" s="89">
        <v>4.0</v>
      </c>
      <c r="E28" s="82"/>
      <c r="F28" s="42" t="s">
        <v>88</v>
      </c>
      <c r="G28" s="82">
        <f>SUMPRODUCT(LEN($G$4:$G$25)-LEN(SUBSTITUTE($G$4:$G$25,"B","")))</f>
        <v>5</v>
      </c>
      <c r="H28" s="78"/>
      <c r="I28" s="82">
        <f>SUMPRODUCT(LEN($I$4:$I$25)-LEN(SUBSTITUTE($I$4:$I$25,"B","")))</f>
        <v>4</v>
      </c>
      <c r="J28" s="83"/>
      <c r="K28" s="83"/>
      <c r="L28" s="84"/>
    </row>
    <row r="29" ht="30.0" customHeight="1">
      <c r="A29" s="78"/>
      <c r="B29" s="85"/>
      <c r="C29" s="90" t="s">
        <v>89</v>
      </c>
      <c r="D29" s="89">
        <v>3.0</v>
      </c>
      <c r="E29" s="82"/>
      <c r="F29" s="42" t="s">
        <v>90</v>
      </c>
      <c r="G29" s="82">
        <f>SUMPRODUCT(LEN($G$4:$G$25)-LEN(SUBSTITUTE($G$4:$G$25,"C","")))</f>
        <v>0</v>
      </c>
      <c r="H29" s="78"/>
      <c r="I29" s="82">
        <f>SUMPRODUCT(LEN($I$4:$I$25)-LEN(SUBSTITUTE($I$4:$I$25,"C","")))</f>
        <v>0</v>
      </c>
      <c r="J29" s="83"/>
      <c r="K29" s="83"/>
      <c r="L29" s="84"/>
    </row>
    <row r="30" ht="30.0" customHeight="1">
      <c r="A30" s="78"/>
      <c r="B30" s="85"/>
      <c r="C30" s="90" t="s">
        <v>91</v>
      </c>
      <c r="D30" s="91">
        <v>45718.0</v>
      </c>
      <c r="E30" s="82"/>
      <c r="F30" s="42" t="s">
        <v>92</v>
      </c>
      <c r="G30" s="82">
        <f>SUMPRODUCT(LEN($G$4:$G$25)-LEN(SUBSTITUTE($G$4:$G$25,"D","")))</f>
        <v>5</v>
      </c>
      <c r="H30" s="78"/>
      <c r="I30" s="82">
        <f>SUMPRODUCT(LEN($I$4:$I$25)-LEN(SUBSTITUTE($I$4:$I$25,"D","")))</f>
        <v>4</v>
      </c>
      <c r="J30" s="83"/>
      <c r="K30" s="83"/>
      <c r="L30" s="84"/>
    </row>
    <row r="31" ht="30.0" customHeight="1">
      <c r="A31" s="78"/>
      <c r="B31" s="85"/>
      <c r="C31" s="92" t="s">
        <v>19</v>
      </c>
      <c r="D31" s="93">
        <v>46054.0</v>
      </c>
      <c r="E31" s="94"/>
      <c r="F31" s="42" t="s">
        <v>93</v>
      </c>
      <c r="G31" s="82">
        <f>SUMPRODUCT(LEN($G$4:$G$25)-LEN(SUBSTITUTE($G$4:$G$25,"E","")))</f>
        <v>5</v>
      </c>
      <c r="H31" s="78"/>
      <c r="I31" s="82">
        <f>SUMPRODUCT(LEN($I$4:$I$25)-LEN(SUBSTITUTE($I$4:$I$25,"E","")))</f>
        <v>4</v>
      </c>
      <c r="J31" s="83"/>
      <c r="K31" s="83"/>
      <c r="L31" s="84"/>
    </row>
  </sheetData>
  <mergeCells count="25">
    <mergeCell ref="A1:A3"/>
    <mergeCell ref="C1:L1"/>
    <mergeCell ref="D2:D3"/>
    <mergeCell ref="E2:E3"/>
    <mergeCell ref="F2:F3"/>
    <mergeCell ref="G2:G3"/>
    <mergeCell ref="H2:H3"/>
    <mergeCell ref="L2:L3"/>
    <mergeCell ref="J14:J15"/>
    <mergeCell ref="K14:K15"/>
    <mergeCell ref="I14:I15"/>
    <mergeCell ref="I16:I17"/>
    <mergeCell ref="J16:J17"/>
    <mergeCell ref="K16:K17"/>
    <mergeCell ref="I18:I19"/>
    <mergeCell ref="J18:J19"/>
    <mergeCell ref="K18:K19"/>
    <mergeCell ref="L18:L19"/>
    <mergeCell ref="I2:I3"/>
    <mergeCell ref="J2:J3"/>
    <mergeCell ref="I7:I9"/>
    <mergeCell ref="J7:J9"/>
    <mergeCell ref="K7:K9"/>
    <mergeCell ref="L7:L9"/>
    <mergeCell ref="L14:L15"/>
  </mergeCells>
  <dataValidations>
    <dataValidation type="list" allowBlank="1" showErrorMessage="1" sqref="K4:K7 K10:K14 K16 K18 K20:K25">
      <formula1>"SIM,NÃO"</formula1>
    </dataValidation>
  </dataValidation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25"/>
    <col customWidth="1" min="2" max="2" width="54.38"/>
    <col customWidth="1" min="3" max="3" width="45.5"/>
    <col customWidth="1" hidden="1" min="4" max="4" width="9.63"/>
    <col customWidth="1" hidden="1" min="5" max="5" width="14.0"/>
    <col customWidth="1" hidden="1" min="6" max="6" width="15.38"/>
    <col customWidth="1" hidden="1" min="7" max="7" width="20.75"/>
    <col customWidth="1" hidden="1" min="8" max="8" width="10.25"/>
    <col customWidth="1" min="9" max="9" width="21.63"/>
    <col customWidth="1" min="10" max="11" width="10.25"/>
    <col customWidth="1" min="12" max="12" width="47.25"/>
  </cols>
  <sheetData>
    <row r="1" ht="37.5" customHeight="1">
      <c r="A1" s="1" t="s">
        <v>0</v>
      </c>
      <c r="B1" s="2" t="s">
        <v>94</v>
      </c>
      <c r="C1" s="95"/>
    </row>
    <row r="2" ht="37.5" customHeight="1">
      <c r="B2" s="4" t="s">
        <v>2</v>
      </c>
      <c r="C2" s="5" t="s">
        <v>3</v>
      </c>
      <c r="D2" s="5" t="s">
        <v>4</v>
      </c>
      <c r="E2" s="6" t="s">
        <v>95</v>
      </c>
      <c r="F2" s="5" t="s">
        <v>96</v>
      </c>
      <c r="G2" s="5" t="s">
        <v>97</v>
      </c>
      <c r="H2" s="5" t="s">
        <v>98</v>
      </c>
      <c r="I2" s="5" t="s">
        <v>99</v>
      </c>
      <c r="J2" s="5" t="s">
        <v>100</v>
      </c>
      <c r="K2" s="7" t="s">
        <v>11</v>
      </c>
      <c r="L2" s="5" t="s">
        <v>101</v>
      </c>
    </row>
    <row r="3" ht="25.5" customHeight="1">
      <c r="B3" s="8" t="s">
        <v>13</v>
      </c>
      <c r="C3" s="7" t="s">
        <v>14</v>
      </c>
      <c r="K3" s="5" t="s">
        <v>102</v>
      </c>
    </row>
    <row r="4">
      <c r="A4" s="96">
        <v>1.0</v>
      </c>
      <c r="B4" s="97" t="s">
        <v>103</v>
      </c>
      <c r="C4" s="98" t="s">
        <v>104</v>
      </c>
      <c r="D4" s="99" t="s">
        <v>105</v>
      </c>
      <c r="E4" s="100" t="s">
        <v>106</v>
      </c>
      <c r="F4" s="100">
        <v>3.0</v>
      </c>
      <c r="G4" s="100" t="s">
        <v>107</v>
      </c>
      <c r="H4" s="100">
        <f t="shared" ref="H4:H29" si="1">LEN(G4)</f>
        <v>3</v>
      </c>
      <c r="I4" s="96" t="s">
        <v>108</v>
      </c>
      <c r="J4" s="96">
        <f>LEN(I4)</f>
        <v>4</v>
      </c>
      <c r="K4" s="96" t="s">
        <v>33</v>
      </c>
      <c r="L4" s="101" t="s">
        <v>109</v>
      </c>
    </row>
    <row r="5" ht="25.5" customHeight="1">
      <c r="A5" s="96">
        <v>1.0</v>
      </c>
      <c r="B5" s="97" t="s">
        <v>110</v>
      </c>
      <c r="C5" s="98" t="s">
        <v>111</v>
      </c>
      <c r="D5" s="99" t="s">
        <v>112</v>
      </c>
      <c r="E5" s="100" t="s">
        <v>30</v>
      </c>
      <c r="F5" s="100">
        <v>3.0</v>
      </c>
      <c r="G5" s="100" t="s">
        <v>58</v>
      </c>
      <c r="H5" s="100">
        <f t="shared" si="1"/>
        <v>2</v>
      </c>
    </row>
    <row r="6" ht="15.75" customHeight="1">
      <c r="A6" s="9">
        <v>1.0</v>
      </c>
      <c r="B6" s="79" t="s">
        <v>113</v>
      </c>
      <c r="C6" s="10" t="s">
        <v>113</v>
      </c>
      <c r="D6" s="42" t="s">
        <v>112</v>
      </c>
      <c r="E6" s="11" t="s">
        <v>24</v>
      </c>
      <c r="F6" s="11">
        <v>3.0</v>
      </c>
      <c r="G6" s="11"/>
      <c r="H6" s="11">
        <f t="shared" si="1"/>
        <v>0</v>
      </c>
    </row>
    <row r="7" ht="28.5" customHeight="1">
      <c r="A7" s="9">
        <v>1.0</v>
      </c>
      <c r="B7" s="79" t="s">
        <v>114</v>
      </c>
      <c r="C7" s="10" t="s">
        <v>115</v>
      </c>
      <c r="D7" s="42" t="s">
        <v>112</v>
      </c>
      <c r="E7" s="11" t="s">
        <v>106</v>
      </c>
      <c r="F7" s="11">
        <v>2.0</v>
      </c>
      <c r="G7" s="12"/>
      <c r="H7" s="11">
        <f t="shared" si="1"/>
        <v>0</v>
      </c>
    </row>
    <row r="8">
      <c r="A8" s="102">
        <v>2.0</v>
      </c>
      <c r="B8" s="103" t="s">
        <v>116</v>
      </c>
      <c r="C8" s="104" t="s">
        <v>117</v>
      </c>
      <c r="D8" s="105" t="s">
        <v>105</v>
      </c>
      <c r="E8" s="106" t="s">
        <v>30</v>
      </c>
      <c r="F8" s="106">
        <v>3.0</v>
      </c>
      <c r="G8" s="106" t="s">
        <v>118</v>
      </c>
      <c r="H8" s="106">
        <f t="shared" si="1"/>
        <v>5</v>
      </c>
      <c r="I8" s="102" t="s">
        <v>31</v>
      </c>
      <c r="J8" s="102">
        <f>LEN(I8)</f>
        <v>1</v>
      </c>
      <c r="K8" s="102" t="s">
        <v>26</v>
      </c>
      <c r="L8" s="107"/>
    </row>
    <row r="9" ht="15.75" customHeight="1">
      <c r="A9" s="102">
        <v>2.0</v>
      </c>
      <c r="B9" s="103" t="s">
        <v>119</v>
      </c>
      <c r="C9" s="104" t="s">
        <v>120</v>
      </c>
      <c r="D9" s="105" t="s">
        <v>105</v>
      </c>
      <c r="E9" s="106" t="s">
        <v>44</v>
      </c>
      <c r="F9" s="106">
        <v>3.0</v>
      </c>
      <c r="G9" s="106" t="s">
        <v>121</v>
      </c>
      <c r="H9" s="106">
        <f t="shared" si="1"/>
        <v>2</v>
      </c>
    </row>
    <row r="10">
      <c r="A10" s="15">
        <v>3.0</v>
      </c>
      <c r="B10" s="108" t="s">
        <v>122</v>
      </c>
      <c r="C10" s="16" t="s">
        <v>123</v>
      </c>
      <c r="D10" s="109" t="s">
        <v>124</v>
      </c>
      <c r="E10" s="17" t="s">
        <v>24</v>
      </c>
      <c r="F10" s="17">
        <v>4.0</v>
      </c>
      <c r="G10" s="17" t="s">
        <v>125</v>
      </c>
      <c r="H10" s="17">
        <f t="shared" si="1"/>
        <v>5</v>
      </c>
      <c r="I10" s="15" t="s">
        <v>108</v>
      </c>
      <c r="J10" s="15">
        <f>LEN(I10)</f>
        <v>4</v>
      </c>
      <c r="K10" s="15" t="s">
        <v>33</v>
      </c>
      <c r="L10" s="110" t="s">
        <v>126</v>
      </c>
    </row>
    <row r="11">
      <c r="A11" s="15">
        <v>3.0</v>
      </c>
      <c r="B11" s="108" t="s">
        <v>127</v>
      </c>
      <c r="C11" s="16" t="s">
        <v>128</v>
      </c>
      <c r="D11" s="109" t="s">
        <v>105</v>
      </c>
      <c r="E11" s="17" t="s">
        <v>24</v>
      </c>
      <c r="F11" s="17">
        <v>3.0</v>
      </c>
      <c r="G11" s="17" t="s">
        <v>129</v>
      </c>
      <c r="H11" s="17">
        <f t="shared" si="1"/>
        <v>4</v>
      </c>
    </row>
    <row r="12" ht="27.75" customHeight="1">
      <c r="A12" s="27">
        <v>4.0</v>
      </c>
      <c r="B12" s="26" t="s">
        <v>130</v>
      </c>
      <c r="C12" s="111" t="s">
        <v>131</v>
      </c>
      <c r="D12" s="21" t="s">
        <v>112</v>
      </c>
      <c r="E12" s="28" t="s">
        <v>37</v>
      </c>
      <c r="F12" s="28">
        <v>4.0</v>
      </c>
      <c r="G12" s="28" t="s">
        <v>132</v>
      </c>
      <c r="H12" s="28">
        <f t="shared" si="1"/>
        <v>1</v>
      </c>
      <c r="I12" s="25"/>
      <c r="J12" s="27">
        <f>LEN(I12)</f>
        <v>0</v>
      </c>
      <c r="K12" s="27" t="s">
        <v>26</v>
      </c>
      <c r="L12" s="112"/>
    </row>
    <row r="13" ht="15.75" customHeight="1">
      <c r="A13" s="9">
        <v>4.0</v>
      </c>
      <c r="B13" s="79" t="s">
        <v>133</v>
      </c>
      <c r="C13" s="10" t="s">
        <v>134</v>
      </c>
      <c r="D13" s="42" t="s">
        <v>112</v>
      </c>
      <c r="E13" s="11" t="s">
        <v>44</v>
      </c>
      <c r="F13" s="11">
        <v>4.0</v>
      </c>
      <c r="G13" s="11"/>
      <c r="H13" s="11">
        <f t="shared" si="1"/>
        <v>0</v>
      </c>
    </row>
    <row r="14" ht="30.0" customHeight="1">
      <c r="A14" s="113">
        <v>5.0</v>
      </c>
      <c r="B14" s="114" t="s">
        <v>135</v>
      </c>
      <c r="C14" s="115" t="s">
        <v>136</v>
      </c>
      <c r="D14" s="116" t="s">
        <v>124</v>
      </c>
      <c r="E14" s="117" t="s">
        <v>30</v>
      </c>
      <c r="F14" s="117">
        <v>3.0</v>
      </c>
      <c r="G14" s="117" t="s">
        <v>137</v>
      </c>
      <c r="H14" s="117">
        <f t="shared" si="1"/>
        <v>2</v>
      </c>
      <c r="I14" s="118"/>
      <c r="J14" s="113">
        <f>LEN(I14)</f>
        <v>0</v>
      </c>
      <c r="K14" s="113" t="s">
        <v>26</v>
      </c>
      <c r="L14" s="119"/>
    </row>
    <row r="15" ht="30.0" customHeight="1">
      <c r="A15" s="113">
        <v>5.0</v>
      </c>
      <c r="B15" s="114" t="s">
        <v>138</v>
      </c>
      <c r="C15" s="115" t="s">
        <v>139</v>
      </c>
      <c r="D15" s="116" t="s">
        <v>140</v>
      </c>
      <c r="E15" s="117" t="s">
        <v>24</v>
      </c>
      <c r="F15" s="117">
        <v>3.0</v>
      </c>
      <c r="G15" s="117" t="s">
        <v>141</v>
      </c>
      <c r="H15" s="117">
        <f t="shared" si="1"/>
        <v>2</v>
      </c>
    </row>
    <row r="16">
      <c r="A16" s="9">
        <v>5.0</v>
      </c>
      <c r="B16" s="10" t="s">
        <v>142</v>
      </c>
      <c r="C16" s="10" t="s">
        <v>143</v>
      </c>
      <c r="D16" s="42" t="s">
        <v>124</v>
      </c>
      <c r="E16" s="11" t="s">
        <v>19</v>
      </c>
      <c r="F16" s="11">
        <v>1.0</v>
      </c>
      <c r="G16" s="12"/>
      <c r="H16" s="11">
        <f t="shared" si="1"/>
        <v>0</v>
      </c>
    </row>
    <row r="17" ht="44.25" customHeight="1">
      <c r="A17" s="9">
        <v>6.0</v>
      </c>
      <c r="B17" s="79" t="s">
        <v>144</v>
      </c>
      <c r="C17" s="10" t="s">
        <v>145</v>
      </c>
      <c r="D17" s="42" t="s">
        <v>140</v>
      </c>
      <c r="E17" s="11" t="s">
        <v>24</v>
      </c>
      <c r="F17" s="11">
        <v>2.0</v>
      </c>
      <c r="G17" s="11"/>
      <c r="H17" s="11">
        <f t="shared" si="1"/>
        <v>0</v>
      </c>
      <c r="I17" s="11"/>
      <c r="J17" s="11"/>
      <c r="K17" s="9" t="s">
        <v>26</v>
      </c>
      <c r="L17" s="14"/>
    </row>
    <row r="18" ht="45.75" customHeight="1">
      <c r="A18" s="36">
        <v>7.0</v>
      </c>
      <c r="B18" s="120" t="s">
        <v>146</v>
      </c>
      <c r="C18" s="121" t="s">
        <v>147</v>
      </c>
      <c r="D18" s="122" t="s">
        <v>140</v>
      </c>
      <c r="E18" s="38" t="s">
        <v>24</v>
      </c>
      <c r="F18" s="38">
        <v>3.0</v>
      </c>
      <c r="G18" s="38" t="s">
        <v>31</v>
      </c>
      <c r="H18" s="38">
        <f t="shared" si="1"/>
        <v>1</v>
      </c>
      <c r="I18" s="40"/>
      <c r="J18" s="36">
        <f t="shared" ref="J18:J19" si="2">LEN(I18)</f>
        <v>0</v>
      </c>
      <c r="K18" s="36" t="s">
        <v>26</v>
      </c>
      <c r="L18" s="123"/>
    </row>
    <row r="19" ht="41.25" customHeight="1">
      <c r="A19" s="124">
        <v>8.0</v>
      </c>
      <c r="B19" s="125" t="s">
        <v>148</v>
      </c>
      <c r="C19" s="126" t="s">
        <v>149</v>
      </c>
      <c r="D19" s="127" t="s">
        <v>140</v>
      </c>
      <c r="E19" s="128" t="s">
        <v>30</v>
      </c>
      <c r="F19" s="128">
        <v>4.0</v>
      </c>
      <c r="G19" s="128" t="s">
        <v>129</v>
      </c>
      <c r="H19" s="128">
        <f t="shared" si="1"/>
        <v>4</v>
      </c>
      <c r="I19" s="124" t="s">
        <v>108</v>
      </c>
      <c r="J19" s="124">
        <f t="shared" si="2"/>
        <v>4</v>
      </c>
      <c r="K19" s="124" t="s">
        <v>33</v>
      </c>
      <c r="L19" s="129" t="s">
        <v>150</v>
      </c>
    </row>
    <row r="20" ht="29.25" customHeight="1">
      <c r="A20" s="124">
        <v>8.0</v>
      </c>
      <c r="B20" s="125" t="s">
        <v>151</v>
      </c>
      <c r="C20" s="126" t="s">
        <v>152</v>
      </c>
      <c r="D20" s="127" t="s">
        <v>105</v>
      </c>
      <c r="E20" s="128" t="s">
        <v>19</v>
      </c>
      <c r="F20" s="128">
        <v>4.0</v>
      </c>
      <c r="G20" s="128" t="s">
        <v>153</v>
      </c>
      <c r="H20" s="128">
        <f t="shared" si="1"/>
        <v>2</v>
      </c>
    </row>
    <row r="21" ht="42.0" customHeight="1">
      <c r="A21" s="124">
        <v>8.0</v>
      </c>
      <c r="B21" s="125" t="s">
        <v>154</v>
      </c>
      <c r="C21" s="126" t="s">
        <v>155</v>
      </c>
      <c r="D21" s="127" t="s">
        <v>105</v>
      </c>
      <c r="E21" s="128" t="s">
        <v>37</v>
      </c>
      <c r="F21" s="128">
        <v>3.0</v>
      </c>
      <c r="G21" s="128" t="s">
        <v>156</v>
      </c>
      <c r="H21" s="128">
        <f t="shared" si="1"/>
        <v>2</v>
      </c>
    </row>
    <row r="22">
      <c r="A22" s="9">
        <v>8.0</v>
      </c>
      <c r="B22" s="79" t="s">
        <v>157</v>
      </c>
      <c r="C22" s="10" t="s">
        <v>158</v>
      </c>
      <c r="D22" s="42" t="s">
        <v>140</v>
      </c>
      <c r="E22" s="11" t="s">
        <v>19</v>
      </c>
      <c r="F22" s="11">
        <v>4.0</v>
      </c>
      <c r="G22" s="12"/>
      <c r="H22" s="11">
        <f t="shared" si="1"/>
        <v>0</v>
      </c>
    </row>
    <row r="23">
      <c r="A23" s="9">
        <v>8.0</v>
      </c>
      <c r="B23" s="79" t="s">
        <v>159</v>
      </c>
      <c r="C23" s="10" t="s">
        <v>160</v>
      </c>
      <c r="D23" s="42" t="s">
        <v>140</v>
      </c>
      <c r="E23" s="11" t="s">
        <v>37</v>
      </c>
      <c r="F23" s="11">
        <v>4.0</v>
      </c>
      <c r="G23" s="12"/>
      <c r="H23" s="11">
        <f t="shared" si="1"/>
        <v>0</v>
      </c>
    </row>
    <row r="24">
      <c r="A24" s="9">
        <v>8.0</v>
      </c>
      <c r="B24" s="79" t="s">
        <v>161</v>
      </c>
      <c r="C24" s="10" t="s">
        <v>162</v>
      </c>
      <c r="D24" s="42" t="s">
        <v>124</v>
      </c>
      <c r="E24" s="11" t="s">
        <v>44</v>
      </c>
      <c r="F24" s="11">
        <v>2.0</v>
      </c>
      <c r="G24" s="12"/>
      <c r="H24" s="11">
        <f t="shared" si="1"/>
        <v>0</v>
      </c>
    </row>
    <row r="25">
      <c r="A25" s="46">
        <v>9.0</v>
      </c>
      <c r="B25" s="130" t="s">
        <v>163</v>
      </c>
      <c r="C25" s="131" t="s">
        <v>164</v>
      </c>
      <c r="D25" s="132" t="s">
        <v>124</v>
      </c>
      <c r="E25" s="48" t="s">
        <v>37</v>
      </c>
      <c r="F25" s="48">
        <v>3.0</v>
      </c>
      <c r="G25" s="48" t="s">
        <v>165</v>
      </c>
      <c r="H25" s="48">
        <f t="shared" si="1"/>
        <v>3</v>
      </c>
      <c r="I25" s="46" t="s">
        <v>25</v>
      </c>
      <c r="J25" s="46">
        <f>LEN(I25)</f>
        <v>3</v>
      </c>
      <c r="K25" s="46" t="s">
        <v>33</v>
      </c>
      <c r="L25" s="47" t="s">
        <v>166</v>
      </c>
    </row>
    <row r="26">
      <c r="A26" s="46">
        <v>9.0</v>
      </c>
      <c r="B26" s="130" t="s">
        <v>167</v>
      </c>
      <c r="C26" s="131" t="s">
        <v>168</v>
      </c>
      <c r="D26" s="132" t="s">
        <v>140</v>
      </c>
      <c r="E26" s="48" t="s">
        <v>106</v>
      </c>
      <c r="F26" s="48">
        <v>3.0</v>
      </c>
      <c r="G26" s="48" t="s">
        <v>38</v>
      </c>
      <c r="H26" s="48">
        <f t="shared" si="1"/>
        <v>2</v>
      </c>
    </row>
    <row r="27">
      <c r="A27" s="9">
        <v>9.0</v>
      </c>
      <c r="B27" s="79" t="s">
        <v>169</v>
      </c>
      <c r="C27" s="10" t="s">
        <v>170</v>
      </c>
      <c r="D27" s="42" t="s">
        <v>112</v>
      </c>
      <c r="E27" s="11" t="s">
        <v>19</v>
      </c>
      <c r="F27" s="11">
        <v>1.0</v>
      </c>
      <c r="G27" s="11"/>
      <c r="H27" s="11">
        <f t="shared" si="1"/>
        <v>0</v>
      </c>
    </row>
    <row r="28">
      <c r="A28" s="9">
        <v>10.0</v>
      </c>
      <c r="B28" s="79" t="s">
        <v>171</v>
      </c>
      <c r="C28" s="10" t="s">
        <v>172</v>
      </c>
      <c r="D28" s="42" t="s">
        <v>140</v>
      </c>
      <c r="E28" s="11" t="s">
        <v>44</v>
      </c>
      <c r="F28" s="11">
        <v>1.0</v>
      </c>
      <c r="G28" s="12"/>
      <c r="H28" s="11">
        <f t="shared" si="1"/>
        <v>0</v>
      </c>
      <c r="I28" s="13"/>
      <c r="J28" s="9">
        <f t="shared" ref="J28:J29" si="3">LEN(I28)</f>
        <v>0</v>
      </c>
      <c r="K28" s="9"/>
      <c r="L28" s="58"/>
    </row>
    <row r="29">
      <c r="A29" s="9">
        <v>11.0</v>
      </c>
      <c r="B29" s="79" t="s">
        <v>173</v>
      </c>
      <c r="C29" s="10" t="s">
        <v>174</v>
      </c>
      <c r="D29" s="42" t="s">
        <v>124</v>
      </c>
      <c r="E29" s="11" t="s">
        <v>106</v>
      </c>
      <c r="F29" s="11">
        <v>2.0</v>
      </c>
      <c r="G29" s="12"/>
      <c r="H29" s="11">
        <f t="shared" si="1"/>
        <v>0</v>
      </c>
      <c r="I29" s="13"/>
      <c r="J29" s="9">
        <f t="shared" si="3"/>
        <v>0</v>
      </c>
      <c r="K29" s="13"/>
      <c r="L29" s="58"/>
    </row>
    <row r="30" ht="15.75" customHeight="1">
      <c r="A30" s="13"/>
      <c r="B30" s="133"/>
      <c r="C30" s="133"/>
      <c r="D30" s="44"/>
      <c r="E30" s="12"/>
      <c r="F30" s="12"/>
      <c r="G30" s="12"/>
      <c r="H30" s="12"/>
      <c r="I30" s="13"/>
      <c r="J30" s="13"/>
      <c r="K30" s="13"/>
      <c r="L30" s="58"/>
    </row>
    <row r="31" ht="30.0" customHeight="1">
      <c r="A31" s="78"/>
      <c r="B31" s="79"/>
      <c r="C31" s="134" t="s">
        <v>81</v>
      </c>
      <c r="D31" s="135"/>
      <c r="E31" s="82"/>
      <c r="F31" s="5" t="s">
        <v>82</v>
      </c>
      <c r="G31" s="5" t="s">
        <v>175</v>
      </c>
      <c r="H31" s="78"/>
      <c r="I31" s="5" t="s">
        <v>84</v>
      </c>
      <c r="J31" s="83"/>
      <c r="K31" s="83"/>
      <c r="L31" s="84"/>
    </row>
    <row r="32" ht="30.0" customHeight="1">
      <c r="A32" s="78"/>
      <c r="B32" s="85"/>
      <c r="C32" s="136" t="s">
        <v>85</v>
      </c>
      <c r="D32" s="137" t="s">
        <v>86</v>
      </c>
      <c r="E32" s="82"/>
      <c r="F32" s="42" t="s">
        <v>87</v>
      </c>
      <c r="G32" s="82">
        <f>SUMPRODUCT(LEN($G$4:$G$30)-LEN(SUBSTITUTE($G$4:$G$30,"A","")))</f>
        <v>8</v>
      </c>
      <c r="H32" s="78"/>
      <c r="I32" s="82">
        <f>SUMPRODUCT(LEN($I$4:$I$30)-LEN(SUBSTITUTE($I$4:$I$30,"A","")))</f>
        <v>4</v>
      </c>
      <c r="J32" s="83"/>
      <c r="K32" s="83"/>
      <c r="L32" s="84"/>
    </row>
    <row r="33" ht="30.0" customHeight="1">
      <c r="A33" s="78"/>
      <c r="B33" s="85"/>
      <c r="C33" s="138" t="s">
        <v>24</v>
      </c>
      <c r="D33" s="139">
        <v>4.0</v>
      </c>
      <c r="E33" s="82"/>
      <c r="F33" s="42" t="s">
        <v>176</v>
      </c>
      <c r="G33" s="82">
        <f>SUMPRODUCT(LEN($G$4:$G$30)-LEN(SUBSTITUTE($G$4:$G$30,"B","")))</f>
        <v>8</v>
      </c>
      <c r="H33" s="78"/>
      <c r="I33" s="82">
        <f>SUMPRODUCT(LEN($I$4:$I$30)-LEN(SUBSTITUTE($I$4:$I$30,"B","")))</f>
        <v>4</v>
      </c>
      <c r="J33" s="83"/>
      <c r="K33" s="83"/>
      <c r="L33" s="84"/>
    </row>
    <row r="34" ht="30.0" customHeight="1">
      <c r="A34" s="78"/>
      <c r="B34" s="85"/>
      <c r="C34" s="140" t="s">
        <v>89</v>
      </c>
      <c r="D34" s="139">
        <v>3.0</v>
      </c>
      <c r="E34" s="82"/>
      <c r="F34" s="42" t="s">
        <v>177</v>
      </c>
      <c r="G34" s="82">
        <f>SUMPRODUCT(LEN($G$4:$G$30)-LEN(SUBSTITUTE($G$4:$G$30,"C","")))</f>
        <v>8</v>
      </c>
      <c r="H34" s="78"/>
      <c r="I34" s="82">
        <f>SUMPRODUCT(LEN($I$4:$I$30)-LEN(SUBSTITUTE($I$4:$I$30,"C","")))</f>
        <v>0</v>
      </c>
      <c r="J34" s="83"/>
      <c r="K34" s="83"/>
      <c r="L34" s="84"/>
    </row>
    <row r="35" ht="30.0" customHeight="1">
      <c r="A35" s="78"/>
      <c r="B35" s="85"/>
      <c r="C35" s="140" t="s">
        <v>91</v>
      </c>
      <c r="D35" s="141">
        <v>45718.0</v>
      </c>
      <c r="E35" s="82"/>
      <c r="F35" s="42" t="s">
        <v>178</v>
      </c>
      <c r="G35" s="82">
        <f>SUMPRODUCT(LEN($G$4:$G$30)-LEN(SUBSTITUTE($G$4:$G$30,"D","")))</f>
        <v>8</v>
      </c>
      <c r="H35" s="78"/>
      <c r="I35" s="82">
        <f>SUMPRODUCT(LEN($I$4:$I$30)-LEN(SUBSTITUTE($I$4:$I$30,"D","")))</f>
        <v>4</v>
      </c>
      <c r="J35" s="83"/>
      <c r="K35" s="83"/>
      <c r="L35" s="84"/>
    </row>
    <row r="36" ht="30.0" customHeight="1">
      <c r="A36" s="78"/>
      <c r="B36" s="85"/>
      <c r="C36" s="142" t="s">
        <v>19</v>
      </c>
      <c r="D36" s="143">
        <v>46054.0</v>
      </c>
      <c r="E36" s="94"/>
      <c r="F36" s="42" t="s">
        <v>179</v>
      </c>
      <c r="G36" s="82">
        <f>SUMPRODUCT(LEN($G$4:$G$30)-LEN(SUBSTITUTE($G$4:$G$30,"E","")))</f>
        <v>8</v>
      </c>
      <c r="H36" s="78"/>
      <c r="I36" s="82">
        <f>SUMPRODUCT(LEN($I$4:$I$30)-LEN(SUBSTITUTE($I$4:$I$30,"E","")))</f>
        <v>4</v>
      </c>
      <c r="J36" s="83"/>
      <c r="K36" s="83"/>
      <c r="L36" s="84"/>
    </row>
  </sheetData>
  <mergeCells count="38">
    <mergeCell ref="A1:A3"/>
    <mergeCell ref="C1:L1"/>
    <mergeCell ref="D2:D3"/>
    <mergeCell ref="E2:E3"/>
    <mergeCell ref="F2:F3"/>
    <mergeCell ref="G2:G3"/>
    <mergeCell ref="H2:H3"/>
    <mergeCell ref="L2:L3"/>
    <mergeCell ref="J8:J9"/>
    <mergeCell ref="K8:K9"/>
    <mergeCell ref="I2:I3"/>
    <mergeCell ref="J2:J3"/>
    <mergeCell ref="I4:I7"/>
    <mergeCell ref="J4:J7"/>
    <mergeCell ref="K4:K7"/>
    <mergeCell ref="L4:L7"/>
    <mergeCell ref="L8:L9"/>
    <mergeCell ref="K12:K13"/>
    <mergeCell ref="L12:L13"/>
    <mergeCell ref="I8:I9"/>
    <mergeCell ref="I10:I11"/>
    <mergeCell ref="J10:J11"/>
    <mergeCell ref="K10:K11"/>
    <mergeCell ref="L10:L11"/>
    <mergeCell ref="I12:I13"/>
    <mergeCell ref="J12:J13"/>
    <mergeCell ref="I19:I24"/>
    <mergeCell ref="I25:I27"/>
    <mergeCell ref="J25:J27"/>
    <mergeCell ref="K25:K27"/>
    <mergeCell ref="L25:L27"/>
    <mergeCell ref="I14:I16"/>
    <mergeCell ref="J14:J16"/>
    <mergeCell ref="K14:K16"/>
    <mergeCell ref="L14:L16"/>
    <mergeCell ref="J19:J24"/>
    <mergeCell ref="K19:K24"/>
    <mergeCell ref="L19:L24"/>
  </mergeCells>
  <dataValidations>
    <dataValidation type="list" allowBlank="1" showErrorMessage="1" sqref="K4 K8 K10 K12 K14 K17:K19 K25 K28:K30">
      <formula1>"SIM,NÃO"</formula1>
    </dataValidation>
  </dataValidations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25"/>
    <col customWidth="1" min="2" max="2" width="50.0"/>
    <col customWidth="1" min="3" max="3" width="53.0"/>
    <col customWidth="1" hidden="1" min="4" max="4" width="9.63"/>
    <col customWidth="1" hidden="1" min="5" max="5" width="14.0"/>
    <col customWidth="1" hidden="1" min="6" max="6" width="10.75"/>
    <col customWidth="1" hidden="1" min="7" max="7" width="20.75"/>
    <col customWidth="1" hidden="1" min="8" max="8" width="10.25"/>
    <col customWidth="1" min="9" max="9" width="21.63"/>
    <col customWidth="1" min="10" max="11" width="10.25"/>
    <col customWidth="1" min="12" max="12" width="47.25"/>
  </cols>
  <sheetData>
    <row r="1" ht="37.5" customHeight="1">
      <c r="A1" s="1" t="s">
        <v>0</v>
      </c>
      <c r="B1" s="2" t="s">
        <v>180</v>
      </c>
      <c r="C1" s="95"/>
    </row>
    <row r="2" ht="37.5" customHeight="1">
      <c r="B2" s="4" t="s">
        <v>2</v>
      </c>
      <c r="C2" s="5" t="s">
        <v>3</v>
      </c>
      <c r="D2" s="5" t="s">
        <v>4</v>
      </c>
      <c r="E2" s="6" t="s">
        <v>181</v>
      </c>
      <c r="F2" s="5" t="s">
        <v>182</v>
      </c>
      <c r="G2" s="5" t="s">
        <v>183</v>
      </c>
      <c r="H2" s="5" t="s">
        <v>184</v>
      </c>
      <c r="I2" s="5" t="s">
        <v>185</v>
      </c>
      <c r="J2" s="5" t="s">
        <v>186</v>
      </c>
      <c r="K2" s="7" t="s">
        <v>11</v>
      </c>
      <c r="L2" s="5" t="s">
        <v>187</v>
      </c>
    </row>
    <row r="3" ht="25.5" customHeight="1">
      <c r="B3" s="8" t="s">
        <v>13</v>
      </c>
      <c r="C3" s="7" t="s">
        <v>14</v>
      </c>
      <c r="K3" s="5" t="s">
        <v>188</v>
      </c>
    </row>
    <row r="4" ht="102.75" customHeight="1">
      <c r="A4" s="99">
        <v>1.0</v>
      </c>
      <c r="B4" s="144" t="s">
        <v>189</v>
      </c>
      <c r="C4" s="98" t="s">
        <v>190</v>
      </c>
      <c r="D4" s="99" t="s">
        <v>191</v>
      </c>
      <c r="E4" s="99" t="s">
        <v>30</v>
      </c>
      <c r="F4" s="99">
        <v>3.0</v>
      </c>
      <c r="G4" s="99" t="s">
        <v>192</v>
      </c>
      <c r="H4" s="145">
        <f t="shared" ref="H4:H29" si="1">LEN(G4)</f>
        <v>5</v>
      </c>
      <c r="I4" s="99" t="s">
        <v>193</v>
      </c>
      <c r="J4" s="146">
        <f t="shared" ref="J4:J5" si="2">LEN(I4)</f>
        <v>3</v>
      </c>
      <c r="K4" s="98" t="s">
        <v>33</v>
      </c>
      <c r="L4" s="147" t="s">
        <v>194</v>
      </c>
    </row>
    <row r="5" ht="66.75" customHeight="1">
      <c r="A5" s="105">
        <v>2.0</v>
      </c>
      <c r="B5" s="148" t="s">
        <v>195</v>
      </c>
      <c r="C5" s="104" t="s">
        <v>196</v>
      </c>
      <c r="D5" s="105" t="s">
        <v>191</v>
      </c>
      <c r="E5" s="105" t="s">
        <v>24</v>
      </c>
      <c r="F5" s="105">
        <v>4.0</v>
      </c>
      <c r="G5" s="105" t="s">
        <v>197</v>
      </c>
      <c r="H5" s="149">
        <f t="shared" si="1"/>
        <v>4</v>
      </c>
      <c r="I5" s="105" t="s">
        <v>192</v>
      </c>
      <c r="J5" s="150">
        <f t="shared" si="2"/>
        <v>5</v>
      </c>
      <c r="K5" s="104" t="s">
        <v>33</v>
      </c>
      <c r="L5" s="151" t="s">
        <v>198</v>
      </c>
    </row>
    <row r="6" ht="78.75" customHeight="1">
      <c r="A6" s="105">
        <v>2.0</v>
      </c>
      <c r="B6" s="104" t="s">
        <v>199</v>
      </c>
      <c r="C6" s="104" t="s">
        <v>200</v>
      </c>
      <c r="D6" s="105" t="s">
        <v>201</v>
      </c>
      <c r="E6" s="105" t="s">
        <v>24</v>
      </c>
      <c r="F6" s="105">
        <v>4.0</v>
      </c>
      <c r="G6" s="105" t="s">
        <v>80</v>
      </c>
      <c r="H6" s="149">
        <f t="shared" si="1"/>
        <v>1</v>
      </c>
    </row>
    <row r="7" ht="39.75" customHeight="1">
      <c r="A7" s="109">
        <v>3.0</v>
      </c>
      <c r="B7" s="16" t="s">
        <v>202</v>
      </c>
      <c r="C7" s="16" t="s">
        <v>203</v>
      </c>
      <c r="D7" s="109" t="s">
        <v>204</v>
      </c>
      <c r="E7" s="109" t="s">
        <v>37</v>
      </c>
      <c r="F7" s="109">
        <v>3.0</v>
      </c>
      <c r="G7" s="109" t="s">
        <v>205</v>
      </c>
      <c r="H7" s="152">
        <f t="shared" si="1"/>
        <v>4</v>
      </c>
      <c r="I7" s="152"/>
      <c r="J7" s="19">
        <f t="shared" ref="J7:J8" si="3">LEN(I7)</f>
        <v>0</v>
      </c>
      <c r="K7" s="16" t="s">
        <v>26</v>
      </c>
      <c r="L7" s="153"/>
    </row>
    <row r="8" ht="62.25" customHeight="1">
      <c r="A8" s="21">
        <v>4.0</v>
      </c>
      <c r="B8" s="154" t="s">
        <v>206</v>
      </c>
      <c r="C8" s="111" t="s">
        <v>207</v>
      </c>
      <c r="D8" s="21" t="s">
        <v>191</v>
      </c>
      <c r="E8" s="21" t="s">
        <v>24</v>
      </c>
      <c r="F8" s="21">
        <v>4.0</v>
      </c>
      <c r="G8" s="21" t="s">
        <v>208</v>
      </c>
      <c r="H8" s="155">
        <f t="shared" si="1"/>
        <v>3</v>
      </c>
      <c r="I8" s="21" t="s">
        <v>205</v>
      </c>
      <c r="J8" s="25">
        <f t="shared" si="3"/>
        <v>4</v>
      </c>
      <c r="K8" s="111" t="s">
        <v>33</v>
      </c>
      <c r="L8" s="111" t="s">
        <v>209</v>
      </c>
    </row>
    <row r="9" ht="68.25" customHeight="1">
      <c r="A9" s="42">
        <v>4.0</v>
      </c>
      <c r="B9" s="10" t="s">
        <v>210</v>
      </c>
      <c r="C9" s="10" t="s">
        <v>211</v>
      </c>
      <c r="D9" s="42" t="s">
        <v>204</v>
      </c>
      <c r="E9" s="42" t="s">
        <v>30</v>
      </c>
      <c r="F9" s="42">
        <v>2.0</v>
      </c>
      <c r="G9" s="42"/>
      <c r="H9" s="44">
        <f t="shared" si="1"/>
        <v>0</v>
      </c>
    </row>
    <row r="10" ht="40.5" customHeight="1">
      <c r="A10" s="116">
        <v>5.0</v>
      </c>
      <c r="B10" s="115" t="s">
        <v>212</v>
      </c>
      <c r="C10" s="115" t="s">
        <v>213</v>
      </c>
      <c r="D10" s="116" t="s">
        <v>214</v>
      </c>
      <c r="E10" s="116" t="s">
        <v>24</v>
      </c>
      <c r="F10" s="116">
        <v>3.0</v>
      </c>
      <c r="G10" s="116" t="s">
        <v>215</v>
      </c>
      <c r="H10" s="156">
        <f t="shared" si="1"/>
        <v>3</v>
      </c>
      <c r="I10" s="116" t="s">
        <v>216</v>
      </c>
      <c r="J10" s="118">
        <f>LEN(I10)</f>
        <v>2</v>
      </c>
      <c r="K10" s="115" t="s">
        <v>33</v>
      </c>
      <c r="L10" s="115" t="s">
        <v>217</v>
      </c>
    </row>
    <row r="11" ht="51.75" customHeight="1">
      <c r="A11" s="116">
        <v>5.0</v>
      </c>
      <c r="B11" s="115" t="s">
        <v>218</v>
      </c>
      <c r="C11" s="115" t="s">
        <v>219</v>
      </c>
      <c r="D11" s="116" t="s">
        <v>204</v>
      </c>
      <c r="E11" s="116" t="s">
        <v>24</v>
      </c>
      <c r="F11" s="116">
        <v>4.0</v>
      </c>
      <c r="G11" s="116" t="s">
        <v>216</v>
      </c>
      <c r="H11" s="156">
        <f t="shared" si="1"/>
        <v>2</v>
      </c>
    </row>
    <row r="12" ht="42.0" customHeight="1">
      <c r="A12" s="116">
        <v>5.0</v>
      </c>
      <c r="B12" s="157" t="s">
        <v>220</v>
      </c>
      <c r="C12" s="115" t="s">
        <v>221</v>
      </c>
      <c r="D12" s="116" t="s">
        <v>191</v>
      </c>
      <c r="E12" s="116" t="s">
        <v>24</v>
      </c>
      <c r="F12" s="116">
        <v>4.0</v>
      </c>
      <c r="G12" s="116" t="s">
        <v>31</v>
      </c>
      <c r="H12" s="156">
        <f t="shared" si="1"/>
        <v>1</v>
      </c>
    </row>
    <row r="13" ht="41.25" customHeight="1">
      <c r="A13" s="116">
        <v>5.0</v>
      </c>
      <c r="B13" s="115" t="s">
        <v>222</v>
      </c>
      <c r="C13" s="115" t="s">
        <v>223</v>
      </c>
      <c r="D13" s="116" t="s">
        <v>204</v>
      </c>
      <c r="E13" s="116" t="s">
        <v>24</v>
      </c>
      <c r="F13" s="116">
        <v>4.0</v>
      </c>
      <c r="G13" s="116" t="s">
        <v>80</v>
      </c>
      <c r="H13" s="156">
        <f t="shared" si="1"/>
        <v>1</v>
      </c>
    </row>
    <row r="14" ht="83.25" customHeight="1">
      <c r="A14" s="158">
        <v>6.0</v>
      </c>
      <c r="B14" s="159" t="s">
        <v>224</v>
      </c>
      <c r="C14" s="159" t="s">
        <v>225</v>
      </c>
      <c r="D14" s="158" t="s">
        <v>204</v>
      </c>
      <c r="E14" s="158" t="s">
        <v>24</v>
      </c>
      <c r="F14" s="158">
        <v>4.0</v>
      </c>
      <c r="G14" s="158" t="s">
        <v>193</v>
      </c>
      <c r="H14" s="160">
        <f t="shared" si="1"/>
        <v>3</v>
      </c>
      <c r="I14" s="158" t="s">
        <v>47</v>
      </c>
      <c r="J14" s="34">
        <f t="shared" ref="J14:J15" si="4">LEN(I14)</f>
        <v>2</v>
      </c>
      <c r="K14" s="159" t="s">
        <v>33</v>
      </c>
      <c r="L14" s="159" t="s">
        <v>226</v>
      </c>
    </row>
    <row r="15" ht="49.5" customHeight="1">
      <c r="A15" s="122">
        <v>7.0</v>
      </c>
      <c r="B15" s="161" t="s">
        <v>227</v>
      </c>
      <c r="C15" s="121" t="s">
        <v>228</v>
      </c>
      <c r="D15" s="122" t="s">
        <v>191</v>
      </c>
      <c r="E15" s="122" t="s">
        <v>37</v>
      </c>
      <c r="F15" s="122">
        <v>3.0</v>
      </c>
      <c r="G15" s="122" t="s">
        <v>229</v>
      </c>
      <c r="H15" s="162">
        <f t="shared" si="1"/>
        <v>2</v>
      </c>
      <c r="I15" s="122" t="s">
        <v>230</v>
      </c>
      <c r="J15" s="40">
        <f t="shared" si="4"/>
        <v>3</v>
      </c>
      <c r="K15" s="121" t="s">
        <v>33</v>
      </c>
      <c r="L15" s="121" t="s">
        <v>231</v>
      </c>
    </row>
    <row r="16" ht="67.5" customHeight="1">
      <c r="A16" s="122">
        <v>7.0</v>
      </c>
      <c r="B16" s="121" t="s">
        <v>232</v>
      </c>
      <c r="C16" s="121" t="s">
        <v>233</v>
      </c>
      <c r="D16" s="122" t="s">
        <v>191</v>
      </c>
      <c r="E16" s="122" t="s">
        <v>37</v>
      </c>
      <c r="F16" s="122">
        <v>3.0</v>
      </c>
      <c r="G16" s="122" t="s">
        <v>216</v>
      </c>
      <c r="H16" s="162">
        <f t="shared" si="1"/>
        <v>2</v>
      </c>
    </row>
    <row r="17" ht="49.5" customHeight="1">
      <c r="A17" s="122">
        <v>7.0</v>
      </c>
      <c r="B17" s="121" t="s">
        <v>234</v>
      </c>
      <c r="C17" s="121" t="s">
        <v>235</v>
      </c>
      <c r="D17" s="122" t="s">
        <v>201</v>
      </c>
      <c r="E17" s="122" t="s">
        <v>106</v>
      </c>
      <c r="F17" s="122">
        <v>3.0</v>
      </c>
      <c r="G17" s="122" t="s">
        <v>132</v>
      </c>
      <c r="H17" s="162">
        <f t="shared" si="1"/>
        <v>1</v>
      </c>
    </row>
    <row r="18" ht="59.25" customHeight="1">
      <c r="A18" s="127">
        <v>8.0</v>
      </c>
      <c r="B18" s="126" t="s">
        <v>236</v>
      </c>
      <c r="C18" s="126" t="s">
        <v>237</v>
      </c>
      <c r="D18" s="127" t="s">
        <v>191</v>
      </c>
      <c r="E18" s="127" t="s">
        <v>30</v>
      </c>
      <c r="F18" s="127">
        <v>3.0</v>
      </c>
      <c r="G18" s="127" t="s">
        <v>80</v>
      </c>
      <c r="H18" s="163">
        <f t="shared" si="1"/>
        <v>1</v>
      </c>
      <c r="I18" s="127" t="s">
        <v>230</v>
      </c>
      <c r="J18" s="164">
        <f>LEN(I18)</f>
        <v>3</v>
      </c>
      <c r="K18" s="126" t="s">
        <v>33</v>
      </c>
      <c r="L18" s="126" t="s">
        <v>238</v>
      </c>
    </row>
    <row r="19" ht="90.0" customHeight="1">
      <c r="A19" s="127">
        <v>8.0</v>
      </c>
      <c r="B19" s="126" t="s">
        <v>239</v>
      </c>
      <c r="C19" s="126" t="s">
        <v>240</v>
      </c>
      <c r="D19" s="127" t="s">
        <v>201</v>
      </c>
      <c r="E19" s="127" t="s">
        <v>30</v>
      </c>
      <c r="F19" s="127">
        <v>3.0</v>
      </c>
      <c r="G19" s="127" t="s">
        <v>80</v>
      </c>
      <c r="H19" s="163">
        <f t="shared" si="1"/>
        <v>1</v>
      </c>
    </row>
    <row r="20" ht="54.0" customHeight="1">
      <c r="A20" s="42">
        <v>8.0</v>
      </c>
      <c r="B20" s="10" t="s">
        <v>241</v>
      </c>
      <c r="C20" s="10" t="s">
        <v>242</v>
      </c>
      <c r="D20" s="42" t="s">
        <v>214</v>
      </c>
      <c r="E20" s="42" t="s">
        <v>24</v>
      </c>
      <c r="F20" s="42">
        <v>2.0</v>
      </c>
      <c r="G20" s="42"/>
      <c r="H20" s="44">
        <f t="shared" si="1"/>
        <v>0</v>
      </c>
    </row>
    <row r="21" ht="53.25" customHeight="1">
      <c r="A21" s="132">
        <v>9.0</v>
      </c>
      <c r="B21" s="131" t="s">
        <v>243</v>
      </c>
      <c r="C21" s="131" t="s">
        <v>244</v>
      </c>
      <c r="D21" s="132" t="s">
        <v>204</v>
      </c>
      <c r="E21" s="132" t="s">
        <v>37</v>
      </c>
      <c r="F21" s="132">
        <v>3.0</v>
      </c>
      <c r="G21" s="132" t="s">
        <v>52</v>
      </c>
      <c r="H21" s="165">
        <f t="shared" si="1"/>
        <v>1</v>
      </c>
      <c r="I21" s="132"/>
      <c r="J21" s="50">
        <f t="shared" ref="J21:J29" si="5">LEN(I21)</f>
        <v>0</v>
      </c>
      <c r="K21" s="131" t="s">
        <v>26</v>
      </c>
      <c r="L21" s="166"/>
    </row>
    <row r="22">
      <c r="A22" s="167">
        <v>10.0</v>
      </c>
      <c r="B22" s="168" t="s">
        <v>245</v>
      </c>
      <c r="C22" s="168" t="s">
        <v>246</v>
      </c>
      <c r="D22" s="167" t="s">
        <v>201</v>
      </c>
      <c r="E22" s="167" t="s">
        <v>37</v>
      </c>
      <c r="F22" s="167">
        <v>3.0</v>
      </c>
      <c r="G22" s="167" t="s">
        <v>80</v>
      </c>
      <c r="H22" s="169">
        <f t="shared" si="1"/>
        <v>1</v>
      </c>
      <c r="I22" s="167" t="s">
        <v>80</v>
      </c>
      <c r="J22" s="56">
        <f t="shared" si="5"/>
        <v>1</v>
      </c>
      <c r="K22" s="168" t="s">
        <v>26</v>
      </c>
      <c r="L22" s="170"/>
    </row>
    <row r="23">
      <c r="A23" s="171">
        <v>11.0</v>
      </c>
      <c r="B23" s="172" t="s">
        <v>247</v>
      </c>
      <c r="C23" s="172" t="s">
        <v>248</v>
      </c>
      <c r="D23" s="171" t="s">
        <v>214</v>
      </c>
      <c r="E23" s="171" t="s">
        <v>24</v>
      </c>
      <c r="F23" s="171">
        <v>3.0</v>
      </c>
      <c r="G23" s="171" t="s">
        <v>156</v>
      </c>
      <c r="H23" s="173">
        <f t="shared" si="1"/>
        <v>2</v>
      </c>
      <c r="I23" s="173"/>
      <c r="J23" s="63">
        <f t="shared" si="5"/>
        <v>0</v>
      </c>
      <c r="K23" s="172" t="s">
        <v>26</v>
      </c>
      <c r="L23" s="174"/>
    </row>
    <row r="24" ht="49.5" customHeight="1">
      <c r="A24" s="175">
        <v>12.0</v>
      </c>
      <c r="B24" s="176" t="s">
        <v>249</v>
      </c>
      <c r="C24" s="176" t="s">
        <v>250</v>
      </c>
      <c r="D24" s="175" t="s">
        <v>204</v>
      </c>
      <c r="E24" s="175" t="s">
        <v>24</v>
      </c>
      <c r="F24" s="175">
        <v>4.0</v>
      </c>
      <c r="G24" s="175" t="s">
        <v>47</v>
      </c>
      <c r="H24" s="177">
        <f t="shared" si="1"/>
        <v>2</v>
      </c>
      <c r="I24" s="175" t="s">
        <v>47</v>
      </c>
      <c r="J24" s="69">
        <f t="shared" si="5"/>
        <v>2</v>
      </c>
      <c r="K24" s="176" t="s">
        <v>33</v>
      </c>
      <c r="L24" s="176" t="s">
        <v>251</v>
      </c>
    </row>
    <row r="25" ht="39.0" customHeight="1">
      <c r="A25" s="42">
        <v>13.0</v>
      </c>
      <c r="B25" s="10" t="s">
        <v>252</v>
      </c>
      <c r="C25" s="10" t="s">
        <v>253</v>
      </c>
      <c r="D25" s="42" t="s">
        <v>204</v>
      </c>
      <c r="E25" s="42" t="s">
        <v>30</v>
      </c>
      <c r="F25" s="42">
        <v>2.0</v>
      </c>
      <c r="G25" s="42"/>
      <c r="H25" s="44">
        <f t="shared" si="1"/>
        <v>0</v>
      </c>
      <c r="I25" s="44"/>
      <c r="J25" s="13">
        <f t="shared" si="5"/>
        <v>0</v>
      </c>
      <c r="K25" s="133"/>
      <c r="L25" s="133"/>
    </row>
    <row r="26" ht="39.0" customHeight="1">
      <c r="A26" s="42">
        <v>14.0</v>
      </c>
      <c r="B26" s="178" t="s">
        <v>254</v>
      </c>
      <c r="C26" s="10" t="s">
        <v>255</v>
      </c>
      <c r="D26" s="42" t="s">
        <v>204</v>
      </c>
      <c r="E26" s="42" t="s">
        <v>30</v>
      </c>
      <c r="F26" s="42">
        <v>2.0</v>
      </c>
      <c r="G26" s="42"/>
      <c r="H26" s="44">
        <f t="shared" si="1"/>
        <v>0</v>
      </c>
      <c r="I26" s="44"/>
      <c r="J26" s="13">
        <f t="shared" si="5"/>
        <v>0</v>
      </c>
      <c r="K26" s="133"/>
      <c r="L26" s="133"/>
    </row>
    <row r="27" ht="65.25" customHeight="1">
      <c r="A27" s="42">
        <v>15.0</v>
      </c>
      <c r="B27" s="179" t="s">
        <v>256</v>
      </c>
      <c r="C27" s="10" t="s">
        <v>257</v>
      </c>
      <c r="D27" s="42" t="s">
        <v>214</v>
      </c>
      <c r="E27" s="42" t="s">
        <v>30</v>
      </c>
      <c r="F27" s="42">
        <v>1.0</v>
      </c>
      <c r="G27" s="42"/>
      <c r="H27" s="44">
        <f t="shared" si="1"/>
        <v>0</v>
      </c>
      <c r="I27" s="44"/>
      <c r="J27" s="13">
        <f t="shared" si="5"/>
        <v>0</v>
      </c>
      <c r="K27" s="133"/>
      <c r="L27" s="133"/>
    </row>
    <row r="28" ht="54.75" customHeight="1">
      <c r="A28" s="42">
        <v>15.0</v>
      </c>
      <c r="B28" s="10" t="s">
        <v>258</v>
      </c>
      <c r="C28" s="10" t="s">
        <v>259</v>
      </c>
      <c r="D28" s="42" t="s">
        <v>201</v>
      </c>
      <c r="E28" s="42" t="s">
        <v>44</v>
      </c>
      <c r="F28" s="42">
        <v>2.0</v>
      </c>
      <c r="G28" s="44"/>
      <c r="H28" s="44">
        <f t="shared" si="1"/>
        <v>0</v>
      </c>
      <c r="I28" s="44"/>
      <c r="J28" s="13">
        <f t="shared" si="5"/>
        <v>0</v>
      </c>
      <c r="K28" s="133"/>
      <c r="L28" s="180"/>
    </row>
    <row r="29" ht="50.25" customHeight="1">
      <c r="A29" s="42">
        <v>16.0</v>
      </c>
      <c r="B29" s="10" t="s">
        <v>260</v>
      </c>
      <c r="C29" s="10" t="s">
        <v>261</v>
      </c>
      <c r="D29" s="42" t="s">
        <v>214</v>
      </c>
      <c r="E29" s="42" t="s">
        <v>37</v>
      </c>
      <c r="F29" s="42">
        <v>2.0</v>
      </c>
      <c r="G29" s="42"/>
      <c r="H29" s="44">
        <f t="shared" si="1"/>
        <v>0</v>
      </c>
      <c r="I29" s="44"/>
      <c r="J29" s="13">
        <f t="shared" si="5"/>
        <v>0</v>
      </c>
      <c r="K29" s="133"/>
      <c r="L29" s="180"/>
    </row>
    <row r="30" ht="17.25" customHeight="1">
      <c r="A30" s="44"/>
      <c r="B30" s="10"/>
      <c r="C30" s="10"/>
      <c r="D30" s="42"/>
      <c r="E30" s="42"/>
      <c r="F30" s="42"/>
      <c r="G30" s="44"/>
      <c r="H30" s="44"/>
      <c r="I30" s="44"/>
      <c r="J30" s="44"/>
      <c r="K30" s="133"/>
      <c r="L30" s="180"/>
    </row>
    <row r="31" ht="15.75" customHeight="1">
      <c r="A31" s="133"/>
      <c r="B31" s="133"/>
      <c r="C31" s="133"/>
      <c r="D31" s="42"/>
      <c r="E31" s="44"/>
      <c r="F31" s="44"/>
      <c r="G31" s="44"/>
      <c r="H31" s="44"/>
      <c r="I31" s="44"/>
      <c r="J31" s="44"/>
      <c r="K31" s="133"/>
      <c r="L31" s="180"/>
    </row>
    <row r="32" ht="15.75" customHeight="1">
      <c r="A32" s="133"/>
      <c r="B32" s="133"/>
      <c r="C32" s="133"/>
      <c r="D32" s="44"/>
      <c r="E32" s="44"/>
      <c r="F32" s="44"/>
      <c r="G32" s="44"/>
      <c r="H32" s="44"/>
      <c r="I32" s="44"/>
      <c r="J32" s="44"/>
      <c r="K32" s="133"/>
      <c r="L32" s="180"/>
    </row>
    <row r="33" ht="30.0" customHeight="1">
      <c r="A33" s="180"/>
      <c r="B33" s="79"/>
      <c r="C33" s="134" t="s">
        <v>81</v>
      </c>
      <c r="D33" s="135"/>
      <c r="E33" s="82"/>
      <c r="F33" s="5" t="s">
        <v>82</v>
      </c>
      <c r="G33" s="5" t="s">
        <v>83</v>
      </c>
      <c r="H33" s="82"/>
      <c r="I33" s="5" t="s">
        <v>83</v>
      </c>
      <c r="J33" s="83"/>
      <c r="K33" s="83"/>
      <c r="L33" s="84"/>
    </row>
    <row r="34" ht="30.0" customHeight="1">
      <c r="A34" s="180"/>
      <c r="B34" s="85"/>
      <c r="C34" s="136" t="s">
        <v>85</v>
      </c>
      <c r="D34" s="137" t="s">
        <v>86</v>
      </c>
      <c r="E34" s="82"/>
      <c r="F34" s="42" t="s">
        <v>87</v>
      </c>
      <c r="G34" s="82">
        <f>SUMPRODUCT(LEN($G$4:$G$32)-LEN(SUBSTITUTE($G$4:$G$32,"A","")))</f>
        <v>8</v>
      </c>
      <c r="H34" s="82"/>
      <c r="I34" s="82">
        <f>SUMPRODUCT(LEN($I$4:$I$32)-LEN(SUBSTITUTE($I$4:$I$32,"A","")))</f>
        <v>5</v>
      </c>
      <c r="J34" s="83"/>
      <c r="K34" s="83"/>
      <c r="L34" s="84"/>
    </row>
    <row r="35" ht="30.0" customHeight="1">
      <c r="A35" s="180"/>
      <c r="B35" s="85"/>
      <c r="C35" s="138" t="s">
        <v>24</v>
      </c>
      <c r="D35" s="139">
        <v>4.0</v>
      </c>
      <c r="E35" s="82"/>
      <c r="F35" s="42" t="s">
        <v>262</v>
      </c>
      <c r="G35" s="82">
        <f>SUMPRODUCT(LEN($G$4:$G$32)-LEN(SUBSTITUTE($G$4:$G$32,"B","")))</f>
        <v>8</v>
      </c>
      <c r="H35" s="82"/>
      <c r="I35" s="82">
        <f>SUMPRODUCT(LEN($I$4:$I$32)-LEN(SUBSTITUTE($I$4:$I$32,"B","")))</f>
        <v>5</v>
      </c>
      <c r="J35" s="83"/>
      <c r="K35" s="83"/>
      <c r="L35" s="84"/>
    </row>
    <row r="36" ht="30.0" customHeight="1">
      <c r="A36" s="180"/>
      <c r="B36" s="85"/>
      <c r="C36" s="140" t="s">
        <v>89</v>
      </c>
      <c r="D36" s="139">
        <v>3.0</v>
      </c>
      <c r="E36" s="82"/>
      <c r="F36" s="42" t="s">
        <v>263</v>
      </c>
      <c r="G36" s="82">
        <f>SUMPRODUCT(LEN($G$4:$G$32)-LEN(SUBSTITUTE($G$4:$G$32,"C","")))</f>
        <v>8</v>
      </c>
      <c r="H36" s="82"/>
      <c r="I36" s="82">
        <f>SUMPRODUCT(LEN($I$4:$I$32)-LEN(SUBSTITUTE($I$4:$I$32,"C","")))</f>
        <v>5</v>
      </c>
      <c r="J36" s="83"/>
      <c r="K36" s="83"/>
      <c r="L36" s="84"/>
    </row>
    <row r="37" ht="30.0" customHeight="1">
      <c r="A37" s="180"/>
      <c r="B37" s="85"/>
      <c r="C37" s="140" t="s">
        <v>91</v>
      </c>
      <c r="D37" s="141">
        <v>45718.0</v>
      </c>
      <c r="E37" s="82"/>
      <c r="F37" s="42" t="s">
        <v>264</v>
      </c>
      <c r="G37" s="82">
        <f>SUMPRODUCT(LEN($G$4:$G$32)-LEN(SUBSTITUTE($G$4:$G$32,"D","")))</f>
        <v>8</v>
      </c>
      <c r="H37" s="82"/>
      <c r="I37" s="82">
        <f>SUMPRODUCT(LEN($I$4:$I$32)-LEN(SUBSTITUTE($I$4:$I$32,"D","")))</f>
        <v>5</v>
      </c>
      <c r="J37" s="83"/>
      <c r="K37" s="83"/>
      <c r="L37" s="84"/>
    </row>
    <row r="38" ht="30.0" customHeight="1">
      <c r="A38" s="180"/>
      <c r="B38" s="85"/>
      <c r="C38" s="142" t="s">
        <v>19</v>
      </c>
      <c r="D38" s="143">
        <v>46054.0</v>
      </c>
      <c r="E38" s="181"/>
      <c r="F38" s="42" t="s">
        <v>265</v>
      </c>
      <c r="G38" s="82">
        <f>SUMPRODUCT(LEN($G$4:$G$32)-LEN(SUBSTITUTE($G$4:$G$32,"E","")))</f>
        <v>8</v>
      </c>
      <c r="H38" s="82"/>
      <c r="I38" s="82">
        <f>SUMPRODUCT(LEN($I$4:$I$32)-LEN(SUBSTITUTE($I$4:$I$32,"E","")))</f>
        <v>5</v>
      </c>
      <c r="J38" s="83"/>
      <c r="K38" s="83"/>
      <c r="L38" s="84"/>
    </row>
  </sheetData>
  <mergeCells count="30">
    <mergeCell ref="A1:A3"/>
    <mergeCell ref="C1:L1"/>
    <mergeCell ref="D2:D3"/>
    <mergeCell ref="E2:E3"/>
    <mergeCell ref="F2:F3"/>
    <mergeCell ref="G2:G3"/>
    <mergeCell ref="H2:H3"/>
    <mergeCell ref="L2:L3"/>
    <mergeCell ref="I2:I3"/>
    <mergeCell ref="J2:J3"/>
    <mergeCell ref="I5:I6"/>
    <mergeCell ref="J5:J6"/>
    <mergeCell ref="K5:K6"/>
    <mergeCell ref="L5:L6"/>
    <mergeCell ref="I8:I9"/>
    <mergeCell ref="L8:L9"/>
    <mergeCell ref="J15:J17"/>
    <mergeCell ref="K15:K17"/>
    <mergeCell ref="I15:I17"/>
    <mergeCell ref="I18:I20"/>
    <mergeCell ref="J18:J20"/>
    <mergeCell ref="K18:K20"/>
    <mergeCell ref="L18:L20"/>
    <mergeCell ref="J8:J9"/>
    <mergeCell ref="K8:K9"/>
    <mergeCell ref="I10:I13"/>
    <mergeCell ref="J10:J13"/>
    <mergeCell ref="K10:K13"/>
    <mergeCell ref="L10:L13"/>
    <mergeCell ref="L15:L17"/>
  </mergeCells>
  <dataValidations>
    <dataValidation type="list" allowBlank="1" showErrorMessage="1" sqref="K4:K5 K7:K8 K10 K14:K15 K18 K21:K29 K31:K32">
      <formula1>"SIM,NÃO"</formula1>
    </dataValidation>
  </dataValidations>
  <hyperlinks>
    <hyperlink r:id="rId1" ref="B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75"/>
    <col customWidth="1" min="2" max="2" width="46.0"/>
    <col customWidth="1" min="3" max="3" width="55.0"/>
    <col customWidth="1" min="4" max="4" width="9.63"/>
    <col customWidth="1" min="5" max="5" width="14.0"/>
    <col customWidth="1" min="6" max="6" width="17.25"/>
    <col customWidth="1" min="7" max="7" width="20.75"/>
    <col customWidth="1" min="8" max="8" width="10.25"/>
    <col customWidth="1" min="9" max="9" width="21.63"/>
    <col customWidth="1" min="10" max="11" width="10.25"/>
    <col customWidth="1" min="12" max="12" width="47.25"/>
  </cols>
  <sheetData>
    <row r="1" ht="37.5" customHeight="1">
      <c r="A1" s="1" t="s">
        <v>0</v>
      </c>
      <c r="B1" s="2" t="s">
        <v>266</v>
      </c>
      <c r="C1" s="3"/>
    </row>
    <row r="2" ht="37.5" customHeight="1">
      <c r="B2" s="4" t="s">
        <v>2</v>
      </c>
      <c r="C2" s="5" t="s">
        <v>3</v>
      </c>
      <c r="D2" s="5" t="s">
        <v>4</v>
      </c>
      <c r="E2" s="6" t="s">
        <v>267</v>
      </c>
      <c r="F2" s="5" t="s">
        <v>268</v>
      </c>
      <c r="G2" s="5" t="s">
        <v>269</v>
      </c>
      <c r="H2" s="5" t="s">
        <v>270</v>
      </c>
      <c r="I2" s="5" t="s">
        <v>271</v>
      </c>
      <c r="J2" s="5" t="s">
        <v>272</v>
      </c>
      <c r="K2" s="7" t="s">
        <v>11</v>
      </c>
      <c r="L2" s="5" t="s">
        <v>273</v>
      </c>
    </row>
    <row r="3" ht="25.5" customHeight="1">
      <c r="B3" s="8" t="s">
        <v>13</v>
      </c>
      <c r="C3" s="7" t="s">
        <v>14</v>
      </c>
      <c r="K3" s="5" t="s">
        <v>274</v>
      </c>
    </row>
    <row r="4">
      <c r="A4" s="182">
        <v>1.0</v>
      </c>
      <c r="B4" s="97" t="s">
        <v>275</v>
      </c>
      <c r="C4" s="97" t="s">
        <v>276</v>
      </c>
      <c r="D4" s="96" t="s">
        <v>277</v>
      </c>
      <c r="E4" s="96" t="s">
        <v>19</v>
      </c>
      <c r="F4" s="96">
        <v>4.0</v>
      </c>
      <c r="G4" s="100" t="s">
        <v>278</v>
      </c>
      <c r="H4" s="183">
        <f t="shared" ref="H4:H20" si="1">LEN(G4)</f>
        <v>5</v>
      </c>
      <c r="I4" s="96" t="s">
        <v>279</v>
      </c>
      <c r="J4" s="146">
        <f>LEN(I4)</f>
        <v>4</v>
      </c>
      <c r="K4" s="96" t="s">
        <v>33</v>
      </c>
      <c r="L4" s="98" t="s">
        <v>280</v>
      </c>
    </row>
    <row r="5">
      <c r="A5" s="184">
        <v>1.0</v>
      </c>
      <c r="B5" s="79" t="s">
        <v>281</v>
      </c>
      <c r="C5" s="79" t="s">
        <v>282</v>
      </c>
      <c r="D5" s="9" t="s">
        <v>283</v>
      </c>
      <c r="E5" s="9" t="s">
        <v>19</v>
      </c>
      <c r="F5" s="9">
        <v>2.0</v>
      </c>
      <c r="G5" s="12"/>
      <c r="H5" s="12">
        <f t="shared" si="1"/>
        <v>0</v>
      </c>
    </row>
    <row r="6" ht="28.5" customHeight="1">
      <c r="A6" s="184">
        <v>1.0</v>
      </c>
      <c r="B6" s="79" t="s">
        <v>284</v>
      </c>
      <c r="C6" s="79" t="s">
        <v>285</v>
      </c>
      <c r="D6" s="9" t="s">
        <v>286</v>
      </c>
      <c r="E6" s="9" t="s">
        <v>19</v>
      </c>
      <c r="F6" s="9">
        <v>2.0</v>
      </c>
      <c r="G6" s="11"/>
      <c r="H6" s="12">
        <f t="shared" si="1"/>
        <v>0</v>
      </c>
    </row>
    <row r="7">
      <c r="A7" s="184">
        <v>2.0</v>
      </c>
      <c r="B7" s="79" t="s">
        <v>287</v>
      </c>
      <c r="C7" s="79" t="s">
        <v>288</v>
      </c>
      <c r="D7" s="9" t="s">
        <v>283</v>
      </c>
      <c r="E7" s="9" t="s">
        <v>19</v>
      </c>
      <c r="F7" s="9">
        <v>2.0</v>
      </c>
      <c r="G7" s="11"/>
      <c r="H7" s="12">
        <f t="shared" si="1"/>
        <v>0</v>
      </c>
      <c r="I7" s="13"/>
      <c r="J7" s="13">
        <f>LEN(I7)</f>
        <v>0</v>
      </c>
      <c r="K7" s="9" t="s">
        <v>26</v>
      </c>
      <c r="L7" s="14"/>
    </row>
    <row r="8">
      <c r="A8" s="184">
        <v>2.0</v>
      </c>
      <c r="B8" s="79" t="s">
        <v>289</v>
      </c>
      <c r="C8" s="79" t="s">
        <v>290</v>
      </c>
      <c r="D8" s="11" t="s">
        <v>291</v>
      </c>
      <c r="E8" s="42" t="s">
        <v>24</v>
      </c>
      <c r="F8" s="9">
        <v>3.0</v>
      </c>
      <c r="G8" s="11"/>
      <c r="H8" s="12">
        <f t="shared" si="1"/>
        <v>0</v>
      </c>
      <c r="L8" s="58"/>
    </row>
    <row r="9">
      <c r="A9" s="184">
        <v>3.0</v>
      </c>
      <c r="B9" s="79" t="s">
        <v>292</v>
      </c>
      <c r="C9" s="79" t="s">
        <v>293</v>
      </c>
      <c r="D9" s="9" t="s">
        <v>283</v>
      </c>
      <c r="E9" s="9" t="s">
        <v>30</v>
      </c>
      <c r="F9" s="9">
        <v>2.0</v>
      </c>
      <c r="G9" s="12"/>
      <c r="H9" s="12">
        <f t="shared" si="1"/>
        <v>0</v>
      </c>
      <c r="I9" s="13"/>
      <c r="J9" s="13">
        <f>LEN(I8)</f>
        <v>0</v>
      </c>
      <c r="K9" s="9" t="s">
        <v>26</v>
      </c>
      <c r="L9" s="14"/>
    </row>
    <row r="10">
      <c r="A10" s="185">
        <v>4.0</v>
      </c>
      <c r="B10" s="26" t="s">
        <v>294</v>
      </c>
      <c r="C10" s="26" t="s">
        <v>295</v>
      </c>
      <c r="D10" s="27" t="s">
        <v>286</v>
      </c>
      <c r="E10" s="27" t="s">
        <v>19</v>
      </c>
      <c r="F10" s="27">
        <v>4.0</v>
      </c>
      <c r="G10" s="28" t="s">
        <v>80</v>
      </c>
      <c r="H10" s="24">
        <f t="shared" si="1"/>
        <v>1</v>
      </c>
      <c r="I10" s="27"/>
      <c r="J10" s="25">
        <f t="shared" ref="J10:J11" si="2">LEN(I10)</f>
        <v>0</v>
      </c>
      <c r="K10" s="27" t="s">
        <v>26</v>
      </c>
      <c r="L10" s="112"/>
    </row>
    <row r="11" ht="57.75" customHeight="1">
      <c r="A11" s="186">
        <v>5.0</v>
      </c>
      <c r="B11" s="114" t="s">
        <v>296</v>
      </c>
      <c r="C11" s="114" t="s">
        <v>297</v>
      </c>
      <c r="D11" s="113" t="s">
        <v>286</v>
      </c>
      <c r="E11" s="113" t="s">
        <v>19</v>
      </c>
      <c r="F11" s="113">
        <v>3.0</v>
      </c>
      <c r="G11" s="113" t="s">
        <v>24</v>
      </c>
      <c r="H11" s="118">
        <f t="shared" si="1"/>
        <v>2</v>
      </c>
      <c r="I11" s="113" t="s">
        <v>298</v>
      </c>
      <c r="J11" s="118">
        <f t="shared" si="2"/>
        <v>5</v>
      </c>
      <c r="K11" s="113" t="s">
        <v>33</v>
      </c>
      <c r="L11" s="115" t="s">
        <v>299</v>
      </c>
    </row>
    <row r="12">
      <c r="A12" s="186">
        <v>5.0</v>
      </c>
      <c r="B12" s="114" t="s">
        <v>300</v>
      </c>
      <c r="C12" s="114" t="s">
        <v>301</v>
      </c>
      <c r="D12" s="113" t="s">
        <v>277</v>
      </c>
      <c r="E12" s="113" t="s">
        <v>30</v>
      </c>
      <c r="F12" s="113">
        <v>3.0</v>
      </c>
      <c r="G12" s="113" t="s">
        <v>52</v>
      </c>
      <c r="H12" s="118">
        <f t="shared" si="1"/>
        <v>1</v>
      </c>
    </row>
    <row r="13">
      <c r="A13" s="187">
        <v>6.0</v>
      </c>
      <c r="B13" s="188" t="s">
        <v>302</v>
      </c>
      <c r="C13" s="188" t="s">
        <v>303</v>
      </c>
      <c r="D13" s="30" t="s">
        <v>277</v>
      </c>
      <c r="E13" s="158" t="s">
        <v>19</v>
      </c>
      <c r="F13" s="30">
        <v>3.0</v>
      </c>
      <c r="G13" s="32" t="s">
        <v>216</v>
      </c>
      <c r="H13" s="33">
        <f t="shared" si="1"/>
        <v>2</v>
      </c>
      <c r="I13" s="30" t="s">
        <v>132</v>
      </c>
      <c r="J13" s="34">
        <f>LEN(I13)</f>
        <v>1</v>
      </c>
      <c r="K13" s="30" t="s">
        <v>26</v>
      </c>
      <c r="L13" s="35">
        <v>1.0</v>
      </c>
    </row>
    <row r="14">
      <c r="A14" s="187">
        <v>6.0</v>
      </c>
      <c r="B14" s="188" t="s">
        <v>304</v>
      </c>
      <c r="C14" s="188" t="s">
        <v>305</v>
      </c>
      <c r="D14" s="30" t="s">
        <v>277</v>
      </c>
      <c r="E14" s="30" t="s">
        <v>30</v>
      </c>
      <c r="F14" s="30">
        <v>3.0</v>
      </c>
      <c r="G14" s="32" t="s">
        <v>306</v>
      </c>
      <c r="H14" s="33">
        <f t="shared" si="1"/>
        <v>4</v>
      </c>
    </row>
    <row r="15" ht="50.25" customHeight="1">
      <c r="A15" s="122">
        <v>7.0</v>
      </c>
      <c r="B15" s="120" t="s">
        <v>307</v>
      </c>
      <c r="C15" s="120" t="s">
        <v>308</v>
      </c>
      <c r="D15" s="122" t="s">
        <v>283</v>
      </c>
      <c r="E15" s="122" t="s">
        <v>30</v>
      </c>
      <c r="F15" s="122">
        <v>3.0</v>
      </c>
      <c r="G15" s="189" t="s">
        <v>52</v>
      </c>
      <c r="H15" s="190">
        <f t="shared" si="1"/>
        <v>1</v>
      </c>
      <c r="I15" s="122" t="s">
        <v>309</v>
      </c>
      <c r="J15" s="162">
        <f>LEN(I15)</f>
        <v>3</v>
      </c>
      <c r="K15" s="122" t="s">
        <v>33</v>
      </c>
      <c r="L15" s="121" t="s">
        <v>310</v>
      </c>
    </row>
    <row r="16">
      <c r="A16" s="122">
        <v>7.0</v>
      </c>
      <c r="B16" s="120" t="s">
        <v>311</v>
      </c>
      <c r="C16" s="120" t="s">
        <v>312</v>
      </c>
      <c r="D16" s="189" t="s">
        <v>291</v>
      </c>
      <c r="E16" s="122" t="s">
        <v>24</v>
      </c>
      <c r="F16" s="122">
        <v>3.0</v>
      </c>
      <c r="G16" s="189" t="s">
        <v>121</v>
      </c>
      <c r="H16" s="190">
        <f t="shared" si="1"/>
        <v>2</v>
      </c>
    </row>
    <row r="17">
      <c r="A17" s="191">
        <v>8.0</v>
      </c>
      <c r="B17" s="192" t="s">
        <v>313</v>
      </c>
      <c r="C17" s="125" t="s">
        <v>314</v>
      </c>
      <c r="D17" s="127" t="s">
        <v>283</v>
      </c>
      <c r="E17" s="124" t="s">
        <v>19</v>
      </c>
      <c r="F17" s="124">
        <v>4.0</v>
      </c>
      <c r="G17" s="128" t="s">
        <v>156</v>
      </c>
      <c r="H17" s="193">
        <f t="shared" si="1"/>
        <v>2</v>
      </c>
      <c r="I17" s="124" t="s">
        <v>315</v>
      </c>
      <c r="J17" s="164">
        <f>LEN(I17)</f>
        <v>3</v>
      </c>
      <c r="K17" s="124" t="s">
        <v>33</v>
      </c>
      <c r="L17" s="126" t="s">
        <v>316</v>
      </c>
    </row>
    <row r="18">
      <c r="A18" s="191">
        <v>8.0</v>
      </c>
      <c r="B18" s="125" t="s">
        <v>317</v>
      </c>
      <c r="C18" s="125" t="s">
        <v>318</v>
      </c>
      <c r="D18" s="127" t="s">
        <v>283</v>
      </c>
      <c r="E18" s="127" t="s">
        <v>19</v>
      </c>
      <c r="F18" s="124">
        <v>3.0</v>
      </c>
      <c r="G18" s="128" t="s">
        <v>66</v>
      </c>
      <c r="H18" s="193">
        <f t="shared" si="1"/>
        <v>2</v>
      </c>
    </row>
    <row r="19">
      <c r="A19" s="194">
        <v>9.0</v>
      </c>
      <c r="B19" s="130" t="s">
        <v>319</v>
      </c>
      <c r="C19" s="130" t="s">
        <v>320</v>
      </c>
      <c r="D19" s="48" t="s">
        <v>291</v>
      </c>
      <c r="E19" s="132" t="s">
        <v>19</v>
      </c>
      <c r="F19" s="46">
        <v>4.0</v>
      </c>
      <c r="G19" s="48" t="s">
        <v>156</v>
      </c>
      <c r="H19" s="49">
        <f t="shared" si="1"/>
        <v>2</v>
      </c>
      <c r="I19" s="46" t="s">
        <v>321</v>
      </c>
      <c r="J19" s="50">
        <f t="shared" ref="J19:J20" si="3">LEN(I19)</f>
        <v>2</v>
      </c>
      <c r="K19" s="46" t="s">
        <v>33</v>
      </c>
      <c r="L19" s="47" t="s">
        <v>322</v>
      </c>
    </row>
    <row r="20">
      <c r="A20" s="195">
        <v>10.0</v>
      </c>
      <c r="B20" s="196" t="s">
        <v>323</v>
      </c>
      <c r="C20" s="196" t="s">
        <v>324</v>
      </c>
      <c r="D20" s="197" t="s">
        <v>277</v>
      </c>
      <c r="E20" s="197" t="s">
        <v>37</v>
      </c>
      <c r="F20" s="197">
        <v>2.0</v>
      </c>
      <c r="G20" s="198" t="s">
        <v>132</v>
      </c>
      <c r="H20" s="199">
        <f t="shared" si="1"/>
        <v>1</v>
      </c>
      <c r="I20" s="197" t="s">
        <v>325</v>
      </c>
      <c r="J20" s="200">
        <f t="shared" si="3"/>
        <v>2</v>
      </c>
      <c r="K20" s="197" t="s">
        <v>33</v>
      </c>
      <c r="L20" s="201" t="s">
        <v>326</v>
      </c>
    </row>
    <row r="21" ht="15.75" customHeight="1">
      <c r="A21" s="14"/>
      <c r="B21" s="14"/>
      <c r="C21" s="14"/>
      <c r="D21" s="12"/>
      <c r="E21" s="12"/>
      <c r="F21" s="12"/>
      <c r="G21" s="12"/>
      <c r="H21" s="12"/>
      <c r="I21" s="13"/>
      <c r="J21" s="13"/>
      <c r="K21" s="13"/>
      <c r="L21" s="58"/>
    </row>
    <row r="22" ht="15.75" customHeight="1">
      <c r="A22" s="14"/>
      <c r="B22" s="14"/>
      <c r="C22" s="14"/>
      <c r="D22" s="12"/>
      <c r="E22" s="12"/>
      <c r="F22" s="12"/>
      <c r="G22" s="12"/>
      <c r="H22" s="12"/>
      <c r="I22" s="13"/>
      <c r="J22" s="13"/>
      <c r="K22" s="13"/>
      <c r="L22" s="58"/>
    </row>
    <row r="23" ht="15.75" customHeight="1">
      <c r="A23" s="14"/>
      <c r="B23" s="14"/>
      <c r="C23" s="14"/>
      <c r="D23" s="12"/>
      <c r="E23" s="12"/>
      <c r="F23" s="12"/>
      <c r="G23" s="12"/>
      <c r="H23" s="12"/>
      <c r="I23" s="13"/>
      <c r="J23" s="13"/>
      <c r="K23" s="13"/>
      <c r="L23" s="58"/>
    </row>
    <row r="24" ht="15.75" customHeight="1">
      <c r="A24" s="14"/>
      <c r="B24" s="14"/>
      <c r="C24" s="14"/>
      <c r="D24" s="12"/>
      <c r="E24" s="12"/>
      <c r="F24" s="12"/>
      <c r="G24" s="12"/>
      <c r="H24" s="12"/>
      <c r="I24" s="13"/>
      <c r="J24" s="13"/>
      <c r="K24" s="13"/>
      <c r="L24" s="58"/>
    </row>
    <row r="25" ht="15.75" customHeight="1">
      <c r="A25" s="14"/>
      <c r="B25" s="14"/>
      <c r="C25" s="14"/>
      <c r="D25" s="12"/>
      <c r="E25" s="12"/>
      <c r="F25" s="12"/>
      <c r="G25" s="12"/>
      <c r="H25" s="12"/>
      <c r="I25" s="13"/>
      <c r="J25" s="13"/>
      <c r="K25" s="13"/>
      <c r="L25" s="58"/>
    </row>
    <row r="26" ht="30.0" customHeight="1">
      <c r="A26" s="58"/>
      <c r="B26" s="79"/>
      <c r="C26" s="80" t="s">
        <v>81</v>
      </c>
      <c r="D26" s="81"/>
      <c r="E26" s="82"/>
      <c r="F26" s="5" t="s">
        <v>82</v>
      </c>
      <c r="G26" s="5" t="s">
        <v>83</v>
      </c>
      <c r="H26" s="78"/>
      <c r="I26" s="5" t="s">
        <v>84</v>
      </c>
      <c r="J26" s="83"/>
      <c r="K26" s="83"/>
      <c r="L26" s="84"/>
    </row>
    <row r="27" ht="30.0" customHeight="1">
      <c r="A27" s="58"/>
      <c r="B27" s="85"/>
      <c r="C27" s="86" t="s">
        <v>85</v>
      </c>
      <c r="D27" s="87" t="s">
        <v>86</v>
      </c>
      <c r="E27" s="82"/>
      <c r="F27" s="42" t="s">
        <v>87</v>
      </c>
      <c r="G27" s="82">
        <f>SUMPRODUCT(LEN($G$4:$G$25)-LEN(SUBSTITUTE($G$4:$G$25,"A","")))</f>
        <v>5</v>
      </c>
      <c r="H27" s="78"/>
      <c r="I27" s="82">
        <f>SUMPRODUCT(LEN($I$4:$I$25)-LEN(SUBSTITUTE($I$4:$I$25,"A","")))</f>
        <v>4</v>
      </c>
      <c r="J27" s="83"/>
      <c r="K27" s="83"/>
      <c r="L27" s="84"/>
    </row>
    <row r="28" ht="30.0" customHeight="1">
      <c r="A28" s="58"/>
      <c r="B28" s="85"/>
      <c r="C28" s="88" t="s">
        <v>24</v>
      </c>
      <c r="D28" s="89">
        <v>4.0</v>
      </c>
      <c r="E28" s="82"/>
      <c r="F28" s="42" t="s">
        <v>327</v>
      </c>
      <c r="G28" s="82">
        <f>SUMPRODUCT(LEN($G$4:$G$25)-LEN(SUBSTITUTE($G$4:$G$25,"B","")))</f>
        <v>5</v>
      </c>
      <c r="H28" s="78"/>
      <c r="I28" s="82">
        <f>SUMPRODUCT(LEN($I$4:$I$25)-LEN(SUBSTITUTE($I$4:$I$25,"B","")))</f>
        <v>4</v>
      </c>
      <c r="J28" s="83"/>
      <c r="K28" s="83"/>
      <c r="L28" s="84"/>
    </row>
    <row r="29" ht="30.0" customHeight="1">
      <c r="A29" s="58"/>
      <c r="B29" s="85"/>
      <c r="C29" s="90" t="s">
        <v>89</v>
      </c>
      <c r="D29" s="89">
        <v>3.0</v>
      </c>
      <c r="E29" s="82"/>
      <c r="F29" s="42" t="s">
        <v>328</v>
      </c>
      <c r="G29" s="82">
        <f>SUMPRODUCT(LEN($G$4:$G$25)-LEN(SUBSTITUTE($G$4:$G$25,"C","")))</f>
        <v>5</v>
      </c>
      <c r="H29" s="78"/>
      <c r="I29" s="82">
        <f>SUMPRODUCT(LEN($I$4:$I$25)-LEN(SUBSTITUTE($I$4:$I$25,"C","")))</f>
        <v>4</v>
      </c>
      <c r="J29" s="83"/>
      <c r="K29" s="83"/>
      <c r="L29" s="84"/>
    </row>
    <row r="30" ht="30.0" customHeight="1">
      <c r="A30" s="58"/>
      <c r="B30" s="85"/>
      <c r="C30" s="90" t="s">
        <v>91</v>
      </c>
      <c r="D30" s="91">
        <v>45718.0</v>
      </c>
      <c r="E30" s="82"/>
      <c r="F30" s="42" t="s">
        <v>329</v>
      </c>
      <c r="G30" s="82">
        <f>SUMPRODUCT(LEN($G$4:$G$25)-LEN(SUBSTITUTE($G$4:$G$25,"D","")))</f>
        <v>5</v>
      </c>
      <c r="H30" s="78"/>
      <c r="I30" s="82">
        <f>SUMPRODUCT(LEN($I$4:$I$25)-LEN(SUBSTITUTE($I$4:$I$25,"D","")))</f>
        <v>4</v>
      </c>
      <c r="J30" s="83"/>
      <c r="K30" s="83"/>
      <c r="L30" s="84"/>
    </row>
    <row r="31" ht="30.0" customHeight="1">
      <c r="A31" s="58"/>
      <c r="B31" s="85"/>
      <c r="C31" s="92" t="s">
        <v>19</v>
      </c>
      <c r="D31" s="93">
        <v>46054.0</v>
      </c>
      <c r="E31" s="94"/>
      <c r="F31" s="42" t="s">
        <v>330</v>
      </c>
      <c r="G31" s="82">
        <f>SUMPRODUCT(LEN($G$4:$G$25)-LEN(SUBSTITUTE($G$4:$G$25,"E","")))</f>
        <v>5</v>
      </c>
      <c r="H31" s="78"/>
      <c r="I31" s="82">
        <f>SUMPRODUCT(LEN($I$4:$I$25)-LEN(SUBSTITUTE($I$4:$I$25,"E","")))</f>
        <v>4</v>
      </c>
      <c r="J31" s="83"/>
      <c r="K31" s="83"/>
      <c r="L31" s="84"/>
    </row>
  </sheetData>
  <mergeCells count="33">
    <mergeCell ref="A1:A3"/>
    <mergeCell ref="C1:L1"/>
    <mergeCell ref="D2:D3"/>
    <mergeCell ref="E2:E3"/>
    <mergeCell ref="F2:F3"/>
    <mergeCell ref="G2:G3"/>
    <mergeCell ref="H2:H3"/>
    <mergeCell ref="L2:L3"/>
    <mergeCell ref="I2:I3"/>
    <mergeCell ref="J2:J3"/>
    <mergeCell ref="I4:I6"/>
    <mergeCell ref="J4:J6"/>
    <mergeCell ref="K4:K6"/>
    <mergeCell ref="L4:L6"/>
    <mergeCell ref="I7:I8"/>
    <mergeCell ref="J13:J14"/>
    <mergeCell ref="K13:K14"/>
    <mergeCell ref="J7:J8"/>
    <mergeCell ref="K7:K8"/>
    <mergeCell ref="I11:I12"/>
    <mergeCell ref="J11:J12"/>
    <mergeCell ref="K11:K12"/>
    <mergeCell ref="L11:L12"/>
    <mergeCell ref="L13:L14"/>
    <mergeCell ref="K17:K18"/>
    <mergeCell ref="L17:L18"/>
    <mergeCell ref="I13:I14"/>
    <mergeCell ref="I15:I16"/>
    <mergeCell ref="J15:J16"/>
    <mergeCell ref="K15:K16"/>
    <mergeCell ref="L15:L16"/>
    <mergeCell ref="I17:I18"/>
    <mergeCell ref="J17:J18"/>
  </mergeCells>
  <dataValidations>
    <dataValidation type="list" allowBlank="1" showErrorMessage="1" sqref="K4 K7 K9:K11 K13 K15 K17 K19:K25">
      <formula1>"SIM,NÃO"</formula1>
    </dataValidation>
  </dataValidations>
  <hyperlinks>
    <hyperlink r:id="rId1" ref="B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25"/>
    <col customWidth="1" min="2" max="2" width="50.38"/>
    <col customWidth="1" min="3" max="3" width="55.0"/>
    <col customWidth="1" hidden="1" min="4" max="4" width="9.63"/>
    <col customWidth="1" hidden="1" min="5" max="5" width="14.0"/>
    <col customWidth="1" hidden="1" min="6" max="6" width="10.75"/>
    <col customWidth="1" hidden="1" min="7" max="7" width="20.75"/>
    <col customWidth="1" hidden="1" min="8" max="8" width="10.25"/>
    <col customWidth="1" min="9" max="9" width="21.63"/>
    <col customWidth="1" min="10" max="11" width="10.25"/>
    <col customWidth="1" min="12" max="12" width="47.25"/>
  </cols>
  <sheetData>
    <row r="1" ht="37.5" customHeight="1">
      <c r="A1" s="1" t="s">
        <v>0</v>
      </c>
      <c r="B1" s="2" t="s">
        <v>331</v>
      </c>
      <c r="C1" s="95"/>
    </row>
    <row r="2" ht="37.5" customHeight="1">
      <c r="B2" s="4" t="s">
        <v>2</v>
      </c>
      <c r="C2" s="5" t="s">
        <v>3</v>
      </c>
      <c r="D2" s="5" t="s">
        <v>4</v>
      </c>
      <c r="E2" s="6" t="s">
        <v>332</v>
      </c>
      <c r="F2" s="5" t="s">
        <v>333</v>
      </c>
      <c r="G2" s="5" t="s">
        <v>334</v>
      </c>
      <c r="H2" s="5" t="s">
        <v>335</v>
      </c>
      <c r="I2" s="5" t="s">
        <v>336</v>
      </c>
      <c r="J2" s="5" t="s">
        <v>337</v>
      </c>
      <c r="K2" s="7" t="s">
        <v>11</v>
      </c>
      <c r="L2" s="5" t="s">
        <v>338</v>
      </c>
    </row>
    <row r="3" ht="19.5" customHeight="1">
      <c r="B3" s="8" t="s">
        <v>13</v>
      </c>
      <c r="C3" s="7" t="s">
        <v>14</v>
      </c>
      <c r="K3" s="5" t="s">
        <v>339</v>
      </c>
    </row>
    <row r="4" ht="50.25" customHeight="1">
      <c r="A4" s="101">
        <v>1.0</v>
      </c>
      <c r="B4" s="101" t="s">
        <v>340</v>
      </c>
      <c r="C4" s="101" t="s">
        <v>341</v>
      </c>
      <c r="D4" s="100" t="s">
        <v>342</v>
      </c>
      <c r="E4" s="100" t="s">
        <v>30</v>
      </c>
      <c r="F4" s="100">
        <v>4.0</v>
      </c>
      <c r="G4" s="100" t="s">
        <v>107</v>
      </c>
      <c r="H4" s="100">
        <f t="shared" ref="H4:H23" si="1">LEN(G4)</f>
        <v>3</v>
      </c>
      <c r="I4" s="96" t="s">
        <v>31</v>
      </c>
      <c r="J4" s="146">
        <f t="shared" ref="J4:J5" si="2">LEN(I4)</f>
        <v>1</v>
      </c>
      <c r="K4" s="96" t="s">
        <v>33</v>
      </c>
      <c r="L4" s="202" t="s">
        <v>343</v>
      </c>
    </row>
    <row r="5" ht="15.75" customHeight="1">
      <c r="A5" s="203">
        <v>2.0</v>
      </c>
      <c r="B5" s="203" t="s">
        <v>344</v>
      </c>
      <c r="C5" s="203" t="s">
        <v>345</v>
      </c>
      <c r="D5" s="106" t="s">
        <v>346</v>
      </c>
      <c r="E5" s="106" t="s">
        <v>24</v>
      </c>
      <c r="F5" s="106">
        <v>4.0</v>
      </c>
      <c r="G5" s="106" t="s">
        <v>347</v>
      </c>
      <c r="H5" s="106">
        <f t="shared" si="1"/>
        <v>4</v>
      </c>
      <c r="I5" s="102" t="s">
        <v>348</v>
      </c>
      <c r="J5" s="150">
        <f t="shared" si="2"/>
        <v>3</v>
      </c>
      <c r="K5" s="102" t="s">
        <v>33</v>
      </c>
      <c r="L5" s="103" t="s">
        <v>349</v>
      </c>
    </row>
    <row r="6" ht="15.75" customHeight="1">
      <c r="A6" s="203">
        <v>2.0</v>
      </c>
      <c r="B6" s="203" t="s">
        <v>350</v>
      </c>
      <c r="C6" s="203" t="s">
        <v>351</v>
      </c>
      <c r="D6" s="106" t="s">
        <v>352</v>
      </c>
      <c r="E6" s="106" t="s">
        <v>30</v>
      </c>
      <c r="F6" s="106">
        <v>3.0</v>
      </c>
      <c r="G6" s="106" t="s">
        <v>347</v>
      </c>
      <c r="H6" s="106">
        <f t="shared" si="1"/>
        <v>4</v>
      </c>
    </row>
    <row r="7" ht="15.75" customHeight="1">
      <c r="A7" s="203">
        <v>2.0</v>
      </c>
      <c r="B7" s="203" t="s">
        <v>353</v>
      </c>
      <c r="C7" s="203" t="s">
        <v>354</v>
      </c>
      <c r="D7" s="106" t="s">
        <v>346</v>
      </c>
      <c r="E7" s="106" t="s">
        <v>24</v>
      </c>
      <c r="F7" s="106">
        <v>4.0</v>
      </c>
      <c r="G7" s="106" t="s">
        <v>355</v>
      </c>
      <c r="H7" s="106">
        <f t="shared" si="1"/>
        <v>3</v>
      </c>
    </row>
    <row r="8" ht="15.75" customHeight="1">
      <c r="A8" s="203">
        <v>2.0</v>
      </c>
      <c r="B8" s="203" t="s">
        <v>356</v>
      </c>
      <c r="C8" s="203" t="s">
        <v>357</v>
      </c>
      <c r="D8" s="106" t="s">
        <v>346</v>
      </c>
      <c r="E8" s="106" t="s">
        <v>106</v>
      </c>
      <c r="F8" s="106">
        <v>3.0</v>
      </c>
      <c r="G8" s="106" t="s">
        <v>107</v>
      </c>
      <c r="H8" s="106">
        <f t="shared" si="1"/>
        <v>3</v>
      </c>
    </row>
    <row r="9" ht="15.75" customHeight="1">
      <c r="A9" s="203">
        <v>2.0</v>
      </c>
      <c r="B9" s="203" t="s">
        <v>358</v>
      </c>
      <c r="C9" s="203" t="s">
        <v>359</v>
      </c>
      <c r="D9" s="106" t="s">
        <v>352</v>
      </c>
      <c r="E9" s="106" t="s">
        <v>24</v>
      </c>
      <c r="F9" s="106">
        <v>4.0</v>
      </c>
      <c r="G9" s="106" t="s">
        <v>216</v>
      </c>
      <c r="H9" s="106">
        <f t="shared" si="1"/>
        <v>2</v>
      </c>
    </row>
    <row r="10" ht="15.75" customHeight="1">
      <c r="A10" s="203">
        <v>2.0</v>
      </c>
      <c r="B10" s="203" t="s">
        <v>360</v>
      </c>
      <c r="C10" s="203" t="s">
        <v>361</v>
      </c>
      <c r="D10" s="106" t="s">
        <v>362</v>
      </c>
      <c r="E10" s="106" t="s">
        <v>30</v>
      </c>
      <c r="F10" s="106">
        <v>3.0</v>
      </c>
      <c r="G10" s="106" t="s">
        <v>325</v>
      </c>
      <c r="H10" s="106">
        <f t="shared" si="1"/>
        <v>2</v>
      </c>
    </row>
    <row r="11" ht="15.75" customHeight="1">
      <c r="A11" s="203">
        <v>2.0</v>
      </c>
      <c r="B11" s="203" t="s">
        <v>363</v>
      </c>
      <c r="C11" s="203" t="s">
        <v>364</v>
      </c>
      <c r="D11" s="106" t="s">
        <v>362</v>
      </c>
      <c r="E11" s="106" t="s">
        <v>37</v>
      </c>
      <c r="F11" s="106">
        <v>4.0</v>
      </c>
      <c r="G11" s="106" t="s">
        <v>52</v>
      </c>
      <c r="H11" s="106">
        <f t="shared" si="1"/>
        <v>1</v>
      </c>
    </row>
    <row r="12" ht="15.75" customHeight="1">
      <c r="A12" s="203">
        <v>2.0</v>
      </c>
      <c r="B12" s="203" t="s">
        <v>365</v>
      </c>
      <c r="C12" s="203" t="s">
        <v>366</v>
      </c>
      <c r="D12" s="106" t="s">
        <v>362</v>
      </c>
      <c r="E12" s="106" t="s">
        <v>24</v>
      </c>
      <c r="F12" s="106">
        <v>4.0</v>
      </c>
      <c r="G12" s="106" t="s">
        <v>52</v>
      </c>
      <c r="H12" s="106">
        <f t="shared" si="1"/>
        <v>1</v>
      </c>
    </row>
    <row r="13" ht="15.75" customHeight="1">
      <c r="A13" s="203">
        <v>2.0</v>
      </c>
      <c r="B13" s="203" t="s">
        <v>367</v>
      </c>
      <c r="C13" s="203" t="s">
        <v>368</v>
      </c>
      <c r="D13" s="106" t="s">
        <v>369</v>
      </c>
      <c r="E13" s="106" t="s">
        <v>37</v>
      </c>
      <c r="F13" s="106">
        <v>3.0</v>
      </c>
      <c r="G13" s="106" t="s">
        <v>31</v>
      </c>
      <c r="H13" s="106">
        <f t="shared" si="1"/>
        <v>1</v>
      </c>
    </row>
    <row r="14" ht="15.75" customHeight="1">
      <c r="A14" s="204">
        <v>3.0</v>
      </c>
      <c r="B14" s="204" t="s">
        <v>370</v>
      </c>
      <c r="C14" s="204" t="s">
        <v>371</v>
      </c>
      <c r="D14" s="17" t="s">
        <v>352</v>
      </c>
      <c r="E14" s="17" t="s">
        <v>30</v>
      </c>
      <c r="F14" s="17">
        <v>3.0</v>
      </c>
      <c r="G14" s="17" t="s">
        <v>325</v>
      </c>
      <c r="H14" s="17">
        <f t="shared" si="1"/>
        <v>2</v>
      </c>
      <c r="I14" s="15" t="s">
        <v>80</v>
      </c>
      <c r="J14" s="19">
        <f t="shared" ref="J14:J15" si="3">LEN(I14)</f>
        <v>1</v>
      </c>
      <c r="K14" s="19"/>
      <c r="L14" s="205"/>
    </row>
    <row r="15" ht="15.75" customHeight="1">
      <c r="A15" s="206">
        <v>4.0</v>
      </c>
      <c r="B15" s="206" t="s">
        <v>372</v>
      </c>
      <c r="C15" s="206" t="s">
        <v>373</v>
      </c>
      <c r="D15" s="11" t="s">
        <v>342</v>
      </c>
      <c r="E15" s="11" t="s">
        <v>30</v>
      </c>
      <c r="F15" s="11">
        <v>3.0</v>
      </c>
      <c r="G15" s="11"/>
      <c r="H15" s="11">
        <f t="shared" si="1"/>
        <v>0</v>
      </c>
      <c r="I15" s="13"/>
      <c r="J15" s="13">
        <f t="shared" si="3"/>
        <v>0</v>
      </c>
      <c r="K15" s="13"/>
      <c r="L15" s="14"/>
    </row>
    <row r="16" ht="15.75" customHeight="1">
      <c r="A16" s="206">
        <v>4.0</v>
      </c>
      <c r="B16" s="206" t="s">
        <v>374</v>
      </c>
      <c r="C16" s="206" t="s">
        <v>341</v>
      </c>
      <c r="D16" s="11" t="s">
        <v>342</v>
      </c>
      <c r="E16" s="11" t="s">
        <v>30</v>
      </c>
      <c r="F16" s="11">
        <v>3.0</v>
      </c>
      <c r="G16" s="11"/>
      <c r="H16" s="11">
        <f t="shared" si="1"/>
        <v>0</v>
      </c>
      <c r="L16" s="14"/>
    </row>
    <row r="17" ht="38.25" customHeight="1">
      <c r="A17" s="207">
        <v>5.0</v>
      </c>
      <c r="B17" s="207" t="s">
        <v>375</v>
      </c>
      <c r="C17" s="207" t="s">
        <v>376</v>
      </c>
      <c r="D17" s="117" t="s">
        <v>352</v>
      </c>
      <c r="E17" s="117" t="s">
        <v>30</v>
      </c>
      <c r="F17" s="117">
        <v>3.0</v>
      </c>
      <c r="G17" s="117" t="s">
        <v>80</v>
      </c>
      <c r="H17" s="117">
        <f t="shared" si="1"/>
        <v>1</v>
      </c>
      <c r="I17" s="113" t="s">
        <v>137</v>
      </c>
      <c r="J17" s="118">
        <f>LEN(I17)</f>
        <v>2</v>
      </c>
      <c r="K17" s="113" t="s">
        <v>33</v>
      </c>
      <c r="L17" s="208" t="s">
        <v>377</v>
      </c>
    </row>
    <row r="18" ht="15.75" customHeight="1">
      <c r="A18" s="206">
        <v>5.0</v>
      </c>
      <c r="B18" s="206" t="s">
        <v>378</v>
      </c>
      <c r="C18" s="206" t="s">
        <v>379</v>
      </c>
      <c r="D18" s="11" t="s">
        <v>352</v>
      </c>
      <c r="E18" s="11" t="s">
        <v>30</v>
      </c>
      <c r="F18" s="11">
        <v>3.0</v>
      </c>
      <c r="G18" s="11"/>
      <c r="H18" s="11">
        <f t="shared" si="1"/>
        <v>0</v>
      </c>
    </row>
    <row r="19" ht="36.0" customHeight="1">
      <c r="A19" s="35">
        <v>6.0</v>
      </c>
      <c r="B19" s="35" t="s">
        <v>380</v>
      </c>
      <c r="C19" s="35" t="s">
        <v>381</v>
      </c>
      <c r="D19" s="32" t="s">
        <v>352</v>
      </c>
      <c r="E19" s="32" t="s">
        <v>30</v>
      </c>
      <c r="F19" s="32">
        <v>3.0</v>
      </c>
      <c r="G19" s="32" t="s">
        <v>80</v>
      </c>
      <c r="H19" s="32">
        <f t="shared" si="1"/>
        <v>1</v>
      </c>
      <c r="I19" s="30" t="s">
        <v>382</v>
      </c>
      <c r="J19" s="34">
        <f t="shared" ref="J19:J23" si="4">LEN(I19)</f>
        <v>2</v>
      </c>
      <c r="K19" s="30" t="s">
        <v>33</v>
      </c>
      <c r="L19" s="31" t="s">
        <v>383</v>
      </c>
    </row>
    <row r="20" ht="15.75" customHeight="1">
      <c r="A20" s="206">
        <v>7.0</v>
      </c>
      <c r="B20" s="206" t="s">
        <v>384</v>
      </c>
      <c r="C20" s="206" t="s">
        <v>385</v>
      </c>
      <c r="D20" s="11" t="s">
        <v>346</v>
      </c>
      <c r="E20" s="11" t="s">
        <v>19</v>
      </c>
      <c r="F20" s="11">
        <v>2.0</v>
      </c>
      <c r="G20" s="11"/>
      <c r="H20" s="11">
        <f t="shared" si="1"/>
        <v>0</v>
      </c>
      <c r="I20" s="13"/>
      <c r="J20" s="13">
        <f t="shared" si="4"/>
        <v>0</v>
      </c>
      <c r="K20" s="13"/>
      <c r="L20" s="14"/>
    </row>
    <row r="21" ht="15.75" customHeight="1">
      <c r="A21" s="206">
        <v>8.0</v>
      </c>
      <c r="B21" s="29" t="s">
        <v>386</v>
      </c>
      <c r="C21" s="206" t="s">
        <v>387</v>
      </c>
      <c r="D21" s="11" t="s">
        <v>362</v>
      </c>
      <c r="E21" s="11" t="s">
        <v>19</v>
      </c>
      <c r="F21" s="11">
        <v>2.0</v>
      </c>
      <c r="G21" s="12"/>
      <c r="H21" s="11">
        <f t="shared" si="1"/>
        <v>0</v>
      </c>
      <c r="I21" s="13"/>
      <c r="J21" s="13">
        <f t="shared" si="4"/>
        <v>0</v>
      </c>
      <c r="K21" s="13"/>
      <c r="L21" s="14"/>
    </row>
    <row r="22" ht="15.75" customHeight="1">
      <c r="A22" s="206">
        <v>9.0</v>
      </c>
      <c r="B22" s="206" t="s">
        <v>388</v>
      </c>
      <c r="C22" s="206" t="s">
        <v>389</v>
      </c>
      <c r="D22" s="11" t="s">
        <v>352</v>
      </c>
      <c r="E22" s="11" t="s">
        <v>19</v>
      </c>
      <c r="F22" s="11">
        <v>2.0</v>
      </c>
      <c r="G22" s="12"/>
      <c r="H22" s="11">
        <f t="shared" si="1"/>
        <v>0</v>
      </c>
      <c r="I22" s="13"/>
      <c r="J22" s="13">
        <f t="shared" si="4"/>
        <v>0</v>
      </c>
      <c r="K22" s="13"/>
      <c r="L22" s="58"/>
    </row>
    <row r="23" ht="15.75" customHeight="1">
      <c r="A23" s="206">
        <v>10.0</v>
      </c>
      <c r="B23" s="206" t="s">
        <v>390</v>
      </c>
      <c r="C23" s="206" t="s">
        <v>391</v>
      </c>
      <c r="D23" s="11" t="s">
        <v>346</v>
      </c>
      <c r="E23" s="11" t="s">
        <v>19</v>
      </c>
      <c r="F23" s="11">
        <v>1.0</v>
      </c>
      <c r="G23" s="11"/>
      <c r="H23" s="11">
        <f t="shared" si="1"/>
        <v>0</v>
      </c>
      <c r="I23" s="13"/>
      <c r="J23" s="13">
        <f t="shared" si="4"/>
        <v>0</v>
      </c>
      <c r="K23" s="13"/>
      <c r="L23" s="14"/>
    </row>
    <row r="24" ht="15.75" customHeight="1">
      <c r="A24" s="14"/>
      <c r="B24" s="14"/>
      <c r="C24" s="14"/>
      <c r="D24" s="12"/>
      <c r="E24" s="12"/>
      <c r="F24" s="12"/>
      <c r="G24" s="12"/>
      <c r="H24" s="12"/>
      <c r="I24" s="13"/>
      <c r="J24" s="13"/>
      <c r="K24" s="13"/>
      <c r="L24" s="58"/>
    </row>
    <row r="25" ht="15.75" customHeight="1">
      <c r="A25" s="14"/>
      <c r="B25" s="14"/>
      <c r="C25" s="14"/>
      <c r="D25" s="12"/>
      <c r="E25" s="12"/>
      <c r="F25" s="12"/>
      <c r="G25" s="12"/>
      <c r="H25" s="12"/>
      <c r="I25" s="13"/>
      <c r="J25" s="13"/>
      <c r="K25" s="13"/>
      <c r="L25" s="58"/>
    </row>
    <row r="26" ht="30.0" customHeight="1">
      <c r="A26" s="58"/>
      <c r="B26" s="79"/>
      <c r="C26" s="80" t="s">
        <v>81</v>
      </c>
      <c r="D26" s="81"/>
      <c r="E26" s="82"/>
      <c r="F26" s="5" t="s">
        <v>82</v>
      </c>
      <c r="G26" s="5" t="s">
        <v>392</v>
      </c>
      <c r="H26" s="78"/>
      <c r="I26" s="5" t="s">
        <v>393</v>
      </c>
      <c r="J26" s="83"/>
      <c r="K26" s="83"/>
      <c r="L26" s="84"/>
    </row>
    <row r="27" ht="30.0" customHeight="1">
      <c r="A27" s="58"/>
      <c r="B27" s="85"/>
      <c r="C27" s="86" t="s">
        <v>85</v>
      </c>
      <c r="D27" s="87" t="s">
        <v>86</v>
      </c>
      <c r="E27" s="82"/>
      <c r="F27" s="42" t="s">
        <v>87</v>
      </c>
      <c r="G27" s="82">
        <f>SUMPRODUCT(LEN($G$4:$G$25)-LEN(SUBSTITUTE($G$4:$G$25,"A","")))</f>
        <v>7</v>
      </c>
      <c r="H27" s="78"/>
      <c r="I27" s="82">
        <f>SUMPRODUCT(LEN($I$4:$I$25)-LEN(SUBSTITUTE($I$4:$I$25,"A","")))</f>
        <v>3</v>
      </c>
      <c r="J27" s="83"/>
      <c r="K27" s="83"/>
      <c r="L27" s="84"/>
    </row>
    <row r="28" ht="30.0" customHeight="1">
      <c r="A28" s="58"/>
      <c r="B28" s="85"/>
      <c r="C28" s="88" t="s">
        <v>24</v>
      </c>
      <c r="D28" s="89">
        <v>4.0</v>
      </c>
      <c r="E28" s="82"/>
      <c r="F28" s="42" t="s">
        <v>394</v>
      </c>
      <c r="G28" s="82">
        <f>SUMPRODUCT(LEN($G$4:$G$25)-LEN(SUBSTITUTE($G$4:$G$25,"B","")))</f>
        <v>7</v>
      </c>
      <c r="H28" s="78"/>
      <c r="I28" s="82">
        <f>SUMPRODUCT(LEN($I$4:$I$25)-LEN(SUBSTITUTE($I$4:$I$25,"B","")))</f>
        <v>3</v>
      </c>
      <c r="J28" s="83"/>
      <c r="K28" s="83"/>
      <c r="L28" s="84"/>
    </row>
    <row r="29" ht="30.0" customHeight="1">
      <c r="A29" s="58"/>
      <c r="B29" s="85"/>
      <c r="C29" s="90" t="s">
        <v>89</v>
      </c>
      <c r="D29" s="89">
        <v>3.0</v>
      </c>
      <c r="E29" s="82"/>
      <c r="F29" s="42" t="s">
        <v>395</v>
      </c>
      <c r="G29" s="82">
        <f>SUMPRODUCT(LEN($G$4:$G$25)-LEN(SUBSTITUTE($G$4:$G$25,"C","")))</f>
        <v>7</v>
      </c>
      <c r="H29" s="78"/>
      <c r="I29" s="82">
        <f>SUMPRODUCT(LEN($I$4:$I$25)-LEN(SUBSTITUTE($I$4:$I$25,"C","")))</f>
        <v>0</v>
      </c>
      <c r="J29" s="83"/>
      <c r="K29" s="83"/>
      <c r="L29" s="84"/>
    </row>
    <row r="30" ht="30.0" customHeight="1">
      <c r="A30" s="58"/>
      <c r="B30" s="85"/>
      <c r="C30" s="90" t="s">
        <v>91</v>
      </c>
      <c r="D30" s="91">
        <v>45718.0</v>
      </c>
      <c r="E30" s="82"/>
      <c r="F30" s="42" t="s">
        <v>396</v>
      </c>
      <c r="G30" s="82">
        <f>SUMPRODUCT(LEN($G$4:$G$25)-LEN(SUBSTITUTE($G$4:$G$25,"D","")))</f>
        <v>7</v>
      </c>
      <c r="H30" s="78"/>
      <c r="I30" s="82">
        <f>SUMPRODUCT(LEN($I$4:$I$25)-LEN(SUBSTITUTE($I$4:$I$25,"D","")))</f>
        <v>3</v>
      </c>
      <c r="J30" s="83"/>
      <c r="K30" s="83"/>
      <c r="L30" s="84"/>
    </row>
    <row r="31" ht="30.0" customHeight="1">
      <c r="A31" s="58"/>
      <c r="B31" s="85"/>
      <c r="C31" s="92" t="s">
        <v>19</v>
      </c>
      <c r="D31" s="93">
        <v>46054.0</v>
      </c>
      <c r="E31" s="94"/>
      <c r="F31" s="42"/>
      <c r="G31" s="82"/>
      <c r="H31" s="78"/>
      <c r="I31" s="82"/>
      <c r="J31" s="83"/>
      <c r="K31" s="83"/>
      <c r="L31" s="84"/>
    </row>
  </sheetData>
  <mergeCells count="21">
    <mergeCell ref="A1:A3"/>
    <mergeCell ref="C1:L1"/>
    <mergeCell ref="D2:D3"/>
    <mergeCell ref="E2:E3"/>
    <mergeCell ref="F2:F3"/>
    <mergeCell ref="G2:G3"/>
    <mergeCell ref="H2:H3"/>
    <mergeCell ref="L2:L3"/>
    <mergeCell ref="J15:J16"/>
    <mergeCell ref="K15:K16"/>
    <mergeCell ref="I17:I18"/>
    <mergeCell ref="J17:J18"/>
    <mergeCell ref="K17:K18"/>
    <mergeCell ref="L17:L18"/>
    <mergeCell ref="I2:I3"/>
    <mergeCell ref="J2:J3"/>
    <mergeCell ref="I5:I13"/>
    <mergeCell ref="J5:J13"/>
    <mergeCell ref="K5:K13"/>
    <mergeCell ref="L5:L13"/>
    <mergeCell ref="I15:I16"/>
  </mergeCells>
  <dataValidations>
    <dataValidation type="list" allowBlank="1" showErrorMessage="1" sqref="K4:K5 K14:K15 K17 K19:K25">
      <formula1>"SIM,NÃO"</formula1>
    </dataValidation>
  </dataValidations>
  <hyperlinks>
    <hyperlink r:id="rId1" ref="B1"/>
  </hyperlinks>
  <drawing r:id="rId2"/>
</worksheet>
</file>